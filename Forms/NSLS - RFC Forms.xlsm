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vanschyndel/Downloads/"/>
    </mc:Choice>
  </mc:AlternateContent>
  <xr:revisionPtr revIDLastSave="0" documentId="8_{E6D74290-4DD7-0946-A13B-2F58B7C5BF2F}" xr6:coauthVersionLast="45" xr6:coauthVersionMax="45" xr10:uidLastSave="{00000000-0000-0000-0000-000000000000}"/>
  <bookViews>
    <workbookView xWindow="0" yWindow="460" windowWidth="28800" windowHeight="16240" xr2:uid="{00000000-000D-0000-FFFF-FFFF00000000}"/>
  </bookViews>
  <sheets>
    <sheet name="Create New Form" sheetId="6" r:id="rId1"/>
    <sheet name="Reference" sheetId="4" state="hidden" r:id="rId2"/>
    <sheet name="CSR" sheetId="50" state="hidden" r:id="rId3"/>
    <sheet name="CON" sheetId="5" state="hidden" r:id="rId4"/>
    <sheet name="MDR" sheetId="54" state="hidden" r:id="rId5"/>
  </sheets>
  <functionGroups builtInGroupCount="19"/>
  <definedNames>
    <definedName name="LOA" localSheetId="1">#REF!</definedName>
    <definedName name="_xlnm.Print_Area" localSheetId="3">CON!$A$1:$N$68</definedName>
    <definedName name="_xlnm.Print_Area" localSheetId="4">MDR!$A$1:$N$61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5" i="54" l="1"/>
  <c r="L14" i="54"/>
  <c r="L13" i="54"/>
  <c r="L12" i="54"/>
  <c r="L11" i="54"/>
  <c r="L15" i="5"/>
  <c r="L13" i="5"/>
  <c r="L12" i="5"/>
  <c r="L11" i="5"/>
  <c r="L14" i="5"/>
  <c r="C29" i="5" l="1"/>
  <c r="I27" i="54"/>
  <c r="I27" i="5"/>
  <c r="I32" i="5"/>
  <c r="C31" i="5"/>
  <c r="C30" i="5"/>
  <c r="F29" i="5"/>
  <c r="I29" i="5" s="1"/>
  <c r="I28" i="5"/>
  <c r="I26" i="5"/>
  <c r="I32" i="54"/>
  <c r="C30" i="54"/>
  <c r="C31" i="54"/>
  <c r="C29" i="54"/>
  <c r="F29" i="54" s="1"/>
  <c r="I28" i="54"/>
  <c r="I29" i="54" l="1"/>
  <c r="I26" i="54"/>
  <c r="D7" i="5" l="1"/>
  <c r="D7" i="54"/>
  <c r="E9" i="50" l="1"/>
  <c r="I47" i="5" l="1"/>
  <c r="I45" i="54"/>
  <c r="I25" i="5"/>
  <c r="I25" i="54"/>
  <c r="I45" i="5" l="1"/>
  <c r="I52" i="54" l="1"/>
  <c r="I51" i="54"/>
  <c r="I50" i="54"/>
  <c r="I49" i="54"/>
  <c r="I48" i="54"/>
  <c r="I47" i="54"/>
  <c r="I44" i="54"/>
  <c r="I43" i="54"/>
  <c r="I42" i="54"/>
  <c r="I41" i="54"/>
  <c r="I40" i="54"/>
  <c r="I39" i="54"/>
  <c r="I34" i="54"/>
  <c r="I24" i="54"/>
  <c r="I23" i="54"/>
  <c r="I22" i="54"/>
  <c r="I21" i="54"/>
  <c r="I19" i="54"/>
  <c r="I18" i="54"/>
  <c r="I17" i="54"/>
  <c r="I14" i="54"/>
  <c r="I13" i="54"/>
  <c r="I10" i="54"/>
  <c r="I9" i="54"/>
  <c r="I8" i="54"/>
  <c r="I7" i="54"/>
  <c r="I6" i="54"/>
  <c r="I5" i="54"/>
  <c r="I44" i="5"/>
  <c r="I10" i="5"/>
  <c r="I3" i="54" l="1"/>
  <c r="H16" i="6"/>
  <c r="F18" i="50"/>
  <c r="F15" i="50"/>
  <c r="F14" i="50"/>
  <c r="F13" i="50"/>
  <c r="F11" i="50"/>
  <c r="F10" i="50"/>
  <c r="F9" i="50"/>
  <c r="F8" i="50"/>
  <c r="F7" i="50"/>
  <c r="I23" i="5" l="1"/>
  <c r="I24" i="5"/>
  <c r="I42" i="5" l="1"/>
  <c r="I49" i="5" l="1"/>
  <c r="I50" i="5"/>
  <c r="I51" i="5"/>
  <c r="I52" i="5"/>
  <c r="I18" i="5"/>
  <c r="I19" i="5"/>
  <c r="I46" i="5"/>
  <c r="I36" i="5"/>
  <c r="I9" i="5"/>
  <c r="I17" i="5"/>
  <c r="I13" i="5"/>
  <c r="I14" i="5"/>
  <c r="L3" i="4"/>
  <c r="L4" i="4" s="1"/>
  <c r="L5" i="4" s="1"/>
  <c r="L6" i="4" s="1"/>
  <c r="I59" i="5"/>
  <c r="I55" i="5"/>
  <c r="I56" i="5"/>
  <c r="I57" i="5"/>
  <c r="I58" i="5"/>
  <c r="I54" i="5"/>
  <c r="I43" i="5"/>
  <c r="I41" i="5"/>
  <c r="I22" i="5"/>
  <c r="I21" i="5"/>
  <c r="I8" i="5"/>
  <c r="I6" i="5"/>
  <c r="I7" i="5"/>
  <c r="I5" i="5"/>
  <c r="L7" i="4" l="1"/>
  <c r="L8" i="4" s="1"/>
  <c r="L9" i="4" s="1"/>
  <c r="L10" i="4" s="1"/>
  <c r="L11" i="4" s="1"/>
  <c r="L12" i="4" s="1"/>
  <c r="L13" i="4" s="1"/>
  <c r="I3" i="5"/>
</calcChain>
</file>

<file path=xl/sharedStrings.xml><?xml version="1.0" encoding="utf-8"?>
<sst xmlns="http://schemas.openxmlformats.org/spreadsheetml/2006/main" count="220" uniqueCount="146">
  <si>
    <t>Nova Scotia Login Service (NSLS)</t>
  </si>
  <si>
    <t>Technical Contact - Main</t>
  </si>
  <si>
    <t>Technical Contact - Backup</t>
  </si>
  <si>
    <t>Y/N</t>
  </si>
  <si>
    <t>Level of Assurance</t>
  </si>
  <si>
    <t>LOA1</t>
  </si>
  <si>
    <t>RP Connectivity Workbook</t>
  </si>
  <si>
    <t>URGENT</t>
  </si>
  <si>
    <t>PROD</t>
  </si>
  <si>
    <t>One Dual Purpose Certificate</t>
  </si>
  <si>
    <t>TEST</t>
  </si>
  <si>
    <t>One Signing and One Encryption Certificate</t>
  </si>
  <si>
    <t>Date</t>
  </si>
  <si>
    <t>Environment</t>
  </si>
  <si>
    <t>Certificate Types</t>
  </si>
  <si>
    <t>Environment:</t>
  </si>
  <si>
    <t>:45</t>
  </si>
  <si>
    <t>:30</t>
  </si>
  <si>
    <t>PM</t>
  </si>
  <si>
    <t>:15</t>
  </si>
  <si>
    <t>No</t>
  </si>
  <si>
    <t>AM</t>
  </si>
  <si>
    <t>:00</t>
  </si>
  <si>
    <t>Yes</t>
  </si>
  <si>
    <t>AM/PM</t>
  </si>
  <si>
    <t>Minutes</t>
  </si>
  <si>
    <t>Hours</t>
  </si>
  <si>
    <t>Time</t>
  </si>
  <si>
    <t>Dept/Agency Name:</t>
  </si>
  <si>
    <t>Online Application:</t>
  </si>
  <si>
    <t>Certificate Type:</t>
  </si>
  <si>
    <t>Requested Date/Time:</t>
  </si>
  <si>
    <t>Connectivity Call Required:</t>
  </si>
  <si>
    <t>Participant(s):</t>
  </si>
  <si>
    <t>Meeting ID: </t>
  </si>
  <si>
    <t>Passcode:</t>
  </si>
  <si>
    <t>Con. Call Date/Time:</t>
  </si>
  <si>
    <t>Name:</t>
  </si>
  <si>
    <t>Phone:</t>
  </si>
  <si>
    <t>Email:</t>
  </si>
  <si>
    <t>First Name:</t>
  </si>
  <si>
    <t>Middle Name:</t>
  </si>
  <si>
    <t>Last Name:</t>
  </si>
  <si>
    <t>Role:</t>
  </si>
  <si>
    <t>Edit Profile URL:</t>
  </si>
  <si>
    <t>Authentication Source:</t>
  </si>
  <si>
    <t>Application URL:</t>
  </si>
  <si>
    <t>File Name:</t>
  </si>
  <si>
    <t>User Community:</t>
  </si>
  <si>
    <t>Peak Hours:</t>
  </si>
  <si>
    <t>Peak Periods:</t>
  </si>
  <si>
    <t>Other Notes</t>
  </si>
  <si>
    <t>Invitation Model:</t>
  </si>
  <si>
    <t>RP Description:</t>
  </si>
  <si>
    <t>RP Name:</t>
  </si>
  <si>
    <t>Invitation Model</t>
  </si>
  <si>
    <t>Both Public and Group Access</t>
  </si>
  <si>
    <t>Public Access</t>
  </si>
  <si>
    <t>SAML or OIDC</t>
  </si>
  <si>
    <t>OIDC</t>
  </si>
  <si>
    <t>SAML</t>
  </si>
  <si>
    <t></t>
  </si>
  <si>
    <t>TBD</t>
  </si>
  <si>
    <t>1. RFC Information</t>
  </si>
  <si>
    <t>2. RP Contact Information</t>
  </si>
  <si>
    <t>3. Application Information</t>
  </si>
  <si>
    <t>4. Metadata</t>
  </si>
  <si>
    <t>5. Capacity Forecast (Production Only)</t>
  </si>
  <si>
    <t>6. Connectivity Call Details:</t>
  </si>
  <si>
    <t>Checklist</t>
  </si>
  <si>
    <t>Zone</t>
  </si>
  <si>
    <t>AST</t>
  </si>
  <si>
    <t>EST</t>
  </si>
  <si>
    <t>Bridge Number: </t>
  </si>
  <si>
    <t>Other Information:</t>
  </si>
  <si>
    <t>App Type</t>
  </si>
  <si>
    <t>File Type</t>
  </si>
  <si>
    <t>.XML</t>
  </si>
  <si>
    <t>.TXT</t>
  </si>
  <si>
    <t>.JSON</t>
  </si>
  <si>
    <t>File Type:</t>
  </si>
  <si>
    <t>Signed/Unsigned</t>
  </si>
  <si>
    <t>Signed</t>
  </si>
  <si>
    <t>Un-Signed</t>
  </si>
  <si>
    <t>Signed or Un-Signed:</t>
  </si>
  <si>
    <t>Application Type:</t>
  </si>
  <si>
    <t>Public</t>
  </si>
  <si>
    <t>Confidential</t>
  </si>
  <si>
    <t>None</t>
  </si>
  <si>
    <t>Summary</t>
  </si>
  <si>
    <t>Protocol Type:</t>
  </si>
  <si>
    <t>Estimated User Count:</t>
  </si>
  <si>
    <t>Form Type</t>
  </si>
  <si>
    <r>
      <t>Dept/Agency:</t>
    </r>
    <r>
      <rPr>
        <sz val="16"/>
        <rFont val="Calibri"/>
        <family val="2"/>
        <scheme val="minor"/>
      </rPr>
      <t> </t>
    </r>
  </si>
  <si>
    <t>UAT</t>
  </si>
  <si>
    <t>CSR Workbook</t>
  </si>
  <si>
    <t>Due Date:</t>
  </si>
  <si>
    <t>The point of contact for verification of this CSR is:</t>
  </si>
  <si>
    <t>Name: </t>
  </si>
  <si>
    <t>Phone: </t>
  </si>
  <si>
    <t>Cell: </t>
  </si>
  <si>
    <t>Best time to be contacted:</t>
  </si>
  <si>
    <t>Select Form Type:</t>
  </si>
  <si>
    <t>DEV</t>
  </si>
  <si>
    <t>QA</t>
  </si>
  <si>
    <t>Select Environment:</t>
  </si>
  <si>
    <t>Application Name:</t>
  </si>
  <si>
    <t>RP Connectivity Form (CON)</t>
  </si>
  <si>
    <t>Metadata Refresh Form (MDR)</t>
  </si>
  <si>
    <t>Certificate Signing Request Form (CSR)</t>
  </si>
  <si>
    <t>LOA2</t>
  </si>
  <si>
    <t>LOA3</t>
  </si>
  <si>
    <t>5. Connectivity Call Details:</t>
  </si>
  <si>
    <t>Previous Deployments:</t>
  </si>
  <si>
    <t>LOA Requirements:</t>
  </si>
  <si>
    <t>Important Note: This document contains a macro "Create Form". This macro is used to generate a copy of the requested form from the templates.</t>
  </si>
  <si>
    <t>LOA 1 Attributes to be passed</t>
  </si>
  <si>
    <t>Group Access Only</t>
  </si>
  <si>
    <r>
      <t>Dept/Agency:</t>
    </r>
    <r>
      <rPr>
        <sz val="18"/>
        <rFont val="Calibri"/>
        <family val="2"/>
        <scheme val="minor"/>
      </rPr>
      <t> </t>
    </r>
  </si>
  <si>
    <t>Entity ID (SAML) / Client ID (OIDC):</t>
  </si>
  <si>
    <t>To create a request form: 
   Select the type of request you are submitting
   Select the Environment
   Enter the name of your application
   Click 'Create Form'</t>
  </si>
  <si>
    <t>IDP Metadata Version</t>
  </si>
  <si>
    <t>MAINTAIN</t>
  </si>
  <si>
    <t>Choice</t>
  </si>
  <si>
    <t>ENABLE</t>
  </si>
  <si>
    <t>IDP Metadata Version:</t>
  </si>
  <si>
    <t>Affilitiation:</t>
  </si>
  <si>
    <t>Attributes to be passed</t>
  </si>
  <si>
    <t>MyNSID Native Login</t>
  </si>
  <si>
    <t>Gov ADFS</t>
  </si>
  <si>
    <t>Health ADFS</t>
  </si>
  <si>
    <t>Enabled Authentication Sources:</t>
  </si>
  <si>
    <t>Access</t>
  </si>
  <si>
    <t>All</t>
  </si>
  <si>
    <t>Restricted</t>
  </si>
  <si>
    <t>Accout Creation Enabled:</t>
  </si>
  <si>
    <t>Access Denied Error Message:</t>
  </si>
  <si>
    <t xml:space="preserve">OIDC - IDP - Public </t>
  </si>
  <si>
    <t xml:space="preserve">OIDC - IDP - Confidential </t>
  </si>
  <si>
    <t xml:space="preserve">SAML - IDP - SOAP </t>
  </si>
  <si>
    <t xml:space="preserve">SAML - IDP - Redirect </t>
  </si>
  <si>
    <t xml:space="preserve">SAML - SP </t>
  </si>
  <si>
    <t>Affiliation:</t>
  </si>
  <si>
    <t>Account Creation Enabled:</t>
  </si>
  <si>
    <t>TYPE</t>
  </si>
  <si>
    <t>You cannot access &lt;service name&gt; with this account. Try a different account or call &lt;help desk number&gt; for support.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</si>
</sst>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22"/>
      <name val="Calibri"/>
      <family val="2"/>
      <scheme val="minor"/>
    </font>
    <font>
      <sz val="20"/>
      <name val="Calibri"/>
      <family val="2"/>
      <scheme val="minor"/>
    </font>
    <font>
      <sz val="18"/>
      <name val="Calibri"/>
      <family val="2"/>
      <scheme val="minor"/>
    </font>
    <font>
      <b/>
      <sz val="20"/>
      <name val="Calibri"/>
      <family val="2"/>
      <scheme val="minor"/>
    </font>
    <font>
      <b/>
      <sz val="18"/>
      <name val="Calibri"/>
      <family val="2"/>
      <scheme val="minor"/>
    </font>
    <font>
      <sz val="20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0"/>
      <color rgb="FF000000"/>
      <name val="Calibri"/>
      <family val="2"/>
    </font>
    <font>
      <sz val="14"/>
      <color theme="1"/>
      <name val="Calibri"/>
      <family val="2"/>
      <scheme val="minor"/>
    </font>
    <font>
      <sz val="22"/>
      <name val="Calibri"/>
      <family val="2"/>
      <scheme val="minor"/>
    </font>
    <font>
      <sz val="16"/>
      <color rgb="FFFF0000"/>
      <name val="Calibri"/>
      <family val="2"/>
      <scheme val="minor"/>
    </font>
    <font>
      <sz val="16"/>
      <color rgb="FF00000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7">
    <xf numFmtId="0" fontId="0" fillId="0" borderId="0" xfId="0"/>
    <xf numFmtId="164" fontId="3" fillId="0" borderId="3" xfId="0" applyNumberFormat="1" applyFont="1" applyBorder="1" applyAlignment="1">
      <alignment horizontal="center"/>
    </xf>
    <xf numFmtId="0" fontId="3" fillId="0" borderId="3" xfId="0" applyFont="1" applyBorder="1" applyAlignment="1">
      <alignment horizontal="right"/>
    </xf>
    <xf numFmtId="0" fontId="3" fillId="0" borderId="3" xfId="0" applyFont="1" applyBorder="1" applyAlignment="1">
      <alignment horizontal="left"/>
    </xf>
    <xf numFmtId="164" fontId="3" fillId="0" borderId="8" xfId="0" applyNumberFormat="1" applyFont="1" applyBorder="1" applyAlignment="1">
      <alignment horizontal="center"/>
    </xf>
    <xf numFmtId="0" fontId="3" fillId="0" borderId="8" xfId="0" applyFont="1" applyBorder="1" applyAlignment="1">
      <alignment horizontal="right"/>
    </xf>
    <xf numFmtId="0" fontId="3" fillId="0" borderId="8" xfId="0" applyFont="1" applyBorder="1" applyAlignment="1">
      <alignment horizontal="left"/>
    </xf>
    <xf numFmtId="0" fontId="5" fillId="4" borderId="3" xfId="0" applyFont="1" applyFill="1" applyBorder="1" applyAlignment="1">
      <alignment horizontal="center"/>
    </xf>
    <xf numFmtId="0" fontId="5" fillId="0" borderId="10" xfId="0" applyFont="1" applyBorder="1"/>
    <xf numFmtId="0" fontId="10" fillId="2" borderId="20" xfId="0" applyFont="1" applyFill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right"/>
    </xf>
    <xf numFmtId="14" fontId="3" fillId="0" borderId="13" xfId="0" applyNumberFormat="1" applyFont="1" applyBorder="1" applyAlignment="1">
      <alignment horizontal="center"/>
    </xf>
    <xf numFmtId="0" fontId="3" fillId="2" borderId="8" xfId="0" applyFont="1" applyFill="1" applyBorder="1" applyAlignment="1">
      <alignment horizontal="right"/>
    </xf>
    <xf numFmtId="0" fontId="3" fillId="2" borderId="9" xfId="0" applyFont="1" applyFill="1" applyBorder="1" applyAlignment="1">
      <alignment horizontal="right"/>
    </xf>
    <xf numFmtId="0" fontId="3" fillId="2" borderId="10" xfId="0" applyFont="1" applyFill="1" applyBorder="1" applyAlignment="1">
      <alignment horizontal="right"/>
    </xf>
    <xf numFmtId="0" fontId="13" fillId="2" borderId="0" xfId="0" applyFont="1" applyFill="1"/>
    <xf numFmtId="0" fontId="15" fillId="5" borderId="3" xfId="0" applyFont="1" applyFill="1" applyBorder="1" applyAlignment="1">
      <alignment horizontal="center" vertical="center"/>
    </xf>
    <xf numFmtId="0" fontId="16" fillId="2" borderId="0" xfId="0" applyFont="1" applyFill="1" applyBorder="1"/>
    <xf numFmtId="0" fontId="13" fillId="5" borderId="0" xfId="0" applyFont="1" applyFill="1" applyAlignment="1">
      <alignment horizontal="center" vertical="center"/>
    </xf>
    <xf numFmtId="0" fontId="0" fillId="3" borderId="11" xfId="0" applyFont="1" applyFill="1" applyBorder="1" applyAlignment="1"/>
    <xf numFmtId="0" fontId="0" fillId="3" borderId="12" xfId="0" applyFont="1" applyFill="1" applyBorder="1" applyAlignment="1"/>
    <xf numFmtId="0" fontId="0" fillId="3" borderId="13" xfId="0" applyFont="1" applyFill="1" applyBorder="1" applyAlignment="1"/>
    <xf numFmtId="0" fontId="3" fillId="0" borderId="3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12" fillId="3" borderId="10" xfId="0" applyFont="1" applyFill="1" applyBorder="1" applyAlignment="1">
      <alignment horizontal="right"/>
    </xf>
    <xf numFmtId="0" fontId="12" fillId="3" borderId="3" xfId="0" applyFont="1" applyFill="1" applyBorder="1" applyAlignment="1">
      <alignment horizontal="right"/>
    </xf>
    <xf numFmtId="0" fontId="3" fillId="0" borderId="7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0" borderId="0" xfId="0" applyFont="1"/>
    <xf numFmtId="0" fontId="19" fillId="2" borderId="3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right"/>
    </xf>
    <xf numFmtId="0" fontId="0" fillId="0" borderId="8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18" fontId="0" fillId="0" borderId="0" xfId="0" applyNumberFormat="1" applyFont="1"/>
    <xf numFmtId="14" fontId="0" fillId="0" borderId="0" xfId="0" applyNumberFormat="1" applyFont="1"/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0" fillId="0" borderId="0" xfId="0" applyFont="1" applyAlignment="1">
      <alignment vertical="top" wrapText="1"/>
    </xf>
    <xf numFmtId="0" fontId="0" fillId="2" borderId="3" xfId="0" applyFont="1" applyFill="1" applyBorder="1" applyAlignment="1">
      <alignment horizontal="center"/>
    </xf>
    <xf numFmtId="0" fontId="0" fillId="0" borderId="0" xfId="0" applyFont="1" applyBorder="1"/>
    <xf numFmtId="0" fontId="0" fillId="0" borderId="0" xfId="0" applyFont="1" applyAlignment="1">
      <alignment horizontal="center"/>
    </xf>
    <xf numFmtId="0" fontId="0" fillId="0" borderId="3" xfId="0" applyFont="1" applyBorder="1"/>
    <xf numFmtId="164" fontId="0" fillId="3" borderId="3" xfId="0" applyNumberFormat="1" applyFont="1" applyFill="1" applyBorder="1"/>
    <xf numFmtId="20" fontId="0" fillId="2" borderId="3" xfId="0" applyNumberFormat="1" applyFont="1" applyFill="1" applyBorder="1" applyAlignment="1">
      <alignment horizontal="center"/>
    </xf>
    <xf numFmtId="0" fontId="0" fillId="0" borderId="3" xfId="0" applyFont="1" applyBorder="1" applyAlignment="1">
      <alignment horizontal="center"/>
    </xf>
    <xf numFmtId="164" fontId="0" fillId="0" borderId="3" xfId="0" applyNumberFormat="1" applyFont="1" applyBorder="1"/>
    <xf numFmtId="0" fontId="0" fillId="0" borderId="3" xfId="0" applyNumberFormat="1" applyFont="1" applyBorder="1" applyAlignment="1">
      <alignment horizontal="center"/>
    </xf>
    <xf numFmtId="49" fontId="0" fillId="0" borderId="3" xfId="0" applyNumberFormat="1" applyFont="1" applyBorder="1" applyAlignment="1">
      <alignment horizontal="center"/>
    </xf>
    <xf numFmtId="0" fontId="0" fillId="0" borderId="0" xfId="0" applyFont="1" applyFill="1" applyBorder="1"/>
    <xf numFmtId="14" fontId="0" fillId="0" borderId="3" xfId="0" applyNumberFormat="1" applyFont="1" applyBorder="1" applyAlignment="1">
      <alignment horizontal="center"/>
    </xf>
    <xf numFmtId="20" fontId="0" fillId="0" borderId="0" xfId="0" applyNumberFormat="1" applyFont="1"/>
    <xf numFmtId="0" fontId="0" fillId="2" borderId="0" xfId="0" applyFont="1" applyFill="1"/>
    <xf numFmtId="0" fontId="0" fillId="0" borderId="0" xfId="0" applyNumberFormat="1" applyFont="1"/>
    <xf numFmtId="0" fontId="3" fillId="0" borderId="4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12" fillId="3" borderId="3" xfId="0" applyFont="1" applyFill="1" applyBorder="1" applyAlignment="1">
      <alignment horizontal="right"/>
    </xf>
    <xf numFmtId="0" fontId="3" fillId="0" borderId="3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12" fillId="3" borderId="8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2" fillId="0" borderId="9" xfId="0" applyFont="1" applyBorder="1" applyAlignment="1">
      <alignment horizontal="center" vertical="center"/>
    </xf>
    <xf numFmtId="0" fontId="12" fillId="3" borderId="11" xfId="0" applyFont="1" applyFill="1" applyBorder="1" applyAlignment="1"/>
    <xf numFmtId="0" fontId="12" fillId="3" borderId="12" xfId="0" applyFont="1" applyFill="1" applyBorder="1" applyAlignment="1"/>
    <xf numFmtId="0" fontId="12" fillId="3" borderId="13" xfId="0" applyFont="1" applyFill="1" applyBorder="1" applyAlignment="1"/>
    <xf numFmtId="0" fontId="12" fillId="3" borderId="5" xfId="0" applyFont="1" applyFill="1" applyBorder="1" applyAlignment="1"/>
    <xf numFmtId="0" fontId="12" fillId="3" borderId="6" xfId="0" applyFont="1" applyFill="1" applyBorder="1" applyAlignment="1"/>
    <xf numFmtId="0" fontId="12" fillId="3" borderId="7" xfId="0" applyFont="1" applyFill="1" applyBorder="1" applyAlignment="1"/>
    <xf numFmtId="0" fontId="21" fillId="0" borderId="0" xfId="0" applyFont="1"/>
    <xf numFmtId="0" fontId="3" fillId="0" borderId="9" xfId="0" applyFont="1" applyBorder="1" applyAlignment="1">
      <alignment horizontal="center"/>
    </xf>
    <xf numFmtId="0" fontId="12" fillId="3" borderId="14" xfId="0" applyFont="1" applyFill="1" applyBorder="1" applyAlignment="1"/>
    <xf numFmtId="0" fontId="12" fillId="3" borderId="0" xfId="0" applyFont="1" applyFill="1" applyBorder="1" applyAlignment="1"/>
    <xf numFmtId="0" fontId="12" fillId="3" borderId="15" xfId="0" applyFont="1" applyFill="1" applyBorder="1" applyAlignment="1"/>
    <xf numFmtId="0" fontId="0" fillId="0" borderId="3" xfId="0" applyBorder="1"/>
    <xf numFmtId="0" fontId="0" fillId="2" borderId="3" xfId="0" applyFont="1" applyFill="1" applyBorder="1" applyAlignment="1"/>
    <xf numFmtId="0" fontId="13" fillId="0" borderId="0" xfId="0" applyFont="1" applyAlignment="1">
      <alignment horizontal="left" wrapText="1"/>
    </xf>
    <xf numFmtId="0" fontId="13" fillId="0" borderId="0" xfId="0" applyFont="1" applyAlignment="1">
      <alignment horizontal="left"/>
    </xf>
    <xf numFmtId="0" fontId="18" fillId="0" borderId="0" xfId="0" applyFont="1" applyAlignment="1">
      <alignment horizontal="left" vertical="top" wrapText="1"/>
    </xf>
    <xf numFmtId="49" fontId="0" fillId="0" borderId="0" xfId="0" applyNumberFormat="1" applyFont="1" applyAlignment="1">
      <alignment horizontal="center"/>
    </xf>
    <xf numFmtId="0" fontId="0" fillId="2" borderId="12" xfId="0" applyFont="1" applyFill="1" applyBorder="1" applyAlignment="1">
      <alignment horizontal="center"/>
    </xf>
    <xf numFmtId="0" fontId="0" fillId="2" borderId="0" xfId="0" applyFont="1" applyFill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0" fillId="2" borderId="4" xfId="0" applyFont="1" applyFill="1" applyBorder="1" applyAlignment="1">
      <alignment horizontal="center"/>
    </xf>
    <xf numFmtId="0" fontId="0" fillId="2" borderId="3" xfId="0" applyFont="1" applyFill="1" applyBorder="1" applyAlignment="1">
      <alignment horizontal="center"/>
    </xf>
    <xf numFmtId="0" fontId="6" fillId="2" borderId="11" xfId="0" applyFont="1" applyFill="1" applyBorder="1" applyAlignment="1">
      <alignment horizontal="center" vertical="center" wrapText="1"/>
    </xf>
    <xf numFmtId="0" fontId="6" fillId="2" borderId="12" xfId="0" applyFont="1" applyFill="1" applyBorder="1" applyAlignment="1">
      <alignment horizontal="center" vertical="center" wrapText="1"/>
    </xf>
    <xf numFmtId="0" fontId="6" fillId="2" borderId="13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16" fillId="2" borderId="2" xfId="0" applyFont="1" applyFill="1" applyBorder="1" applyAlignment="1">
      <alignment horizontal="center" vertical="center"/>
    </xf>
    <xf numFmtId="0" fontId="16" fillId="2" borderId="4" xfId="0" applyFont="1" applyFill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11" fillId="2" borderId="1" xfId="0" applyFont="1" applyFill="1" applyBorder="1" applyAlignment="1">
      <alignment horizontal="center"/>
    </xf>
    <xf numFmtId="0" fontId="11" fillId="2" borderId="2" xfId="0" applyFont="1" applyFill="1" applyBorder="1" applyAlignment="1">
      <alignment horizontal="center"/>
    </xf>
    <xf numFmtId="0" fontId="11" fillId="2" borderId="4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center" vertical="center"/>
    </xf>
    <xf numFmtId="0" fontId="15" fillId="2" borderId="2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right"/>
    </xf>
    <xf numFmtId="0" fontId="12" fillId="3" borderId="4" xfId="0" applyFont="1" applyFill="1" applyBorder="1" applyAlignment="1">
      <alignment horizontal="right"/>
    </xf>
    <xf numFmtId="0" fontId="3" fillId="0" borderId="3" xfId="0" applyFont="1" applyBorder="1" applyAlignment="1">
      <alignment horizontal="center"/>
    </xf>
    <xf numFmtId="0" fontId="3" fillId="0" borderId="3" xfId="0" applyNumberFormat="1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12" fillId="3" borderId="8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3" xfId="0" applyFont="1" applyFill="1" applyBorder="1" applyAlignment="1">
      <alignment horizontal="right"/>
    </xf>
    <xf numFmtId="0" fontId="2" fillId="0" borderId="9" xfId="0" applyFont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 wrapText="1"/>
    </xf>
    <xf numFmtId="0" fontId="12" fillId="3" borderId="5" xfId="0" applyFont="1" applyFill="1" applyBorder="1" applyAlignment="1">
      <alignment horizontal="center"/>
    </xf>
    <xf numFmtId="0" fontId="12" fillId="3" borderId="6" xfId="0" applyFont="1" applyFill="1" applyBorder="1" applyAlignment="1">
      <alignment horizontal="center"/>
    </xf>
    <xf numFmtId="0" fontId="12" fillId="3" borderId="7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4" xfId="0" applyFont="1" applyFill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4" fillId="3" borderId="3" xfId="0" applyFont="1" applyFill="1" applyBorder="1" applyAlignment="1">
      <alignment horizontal="right"/>
    </xf>
    <xf numFmtId="0" fontId="4" fillId="3" borderId="8" xfId="0" applyFont="1" applyFill="1" applyBorder="1" applyAlignment="1">
      <alignment horizontal="right"/>
    </xf>
    <xf numFmtId="0" fontId="3" fillId="0" borderId="10" xfId="0" applyFont="1" applyBorder="1" applyAlignment="1">
      <alignment horizontal="center"/>
    </xf>
    <xf numFmtId="0" fontId="13" fillId="3" borderId="10" xfId="0" applyFont="1" applyFill="1" applyBorder="1" applyAlignment="1">
      <alignment horizontal="right"/>
    </xf>
    <xf numFmtId="0" fontId="13" fillId="3" borderId="3" xfId="0" applyFont="1" applyFill="1" applyBorder="1" applyAlignment="1">
      <alignment horizontal="right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2" fillId="3" borderId="10" xfId="0" applyFont="1" applyFill="1" applyBorder="1" applyAlignment="1">
      <alignment horizontal="right" vertical="center"/>
    </xf>
    <xf numFmtId="0" fontId="12" fillId="3" borderId="3" xfId="0" applyFont="1" applyFill="1" applyBorder="1" applyAlignment="1">
      <alignment horizontal="right" vertical="center"/>
    </xf>
    <xf numFmtId="0" fontId="6" fillId="2" borderId="16" xfId="0" applyFont="1" applyFill="1" applyBorder="1" applyAlignment="1">
      <alignment horizontal="center" vertical="center" wrapText="1"/>
    </xf>
    <xf numFmtId="0" fontId="6" fillId="2" borderId="17" xfId="0" applyFont="1" applyFill="1" applyBorder="1" applyAlignment="1">
      <alignment horizontal="center" vertical="center" wrapText="1"/>
    </xf>
    <xf numFmtId="0" fontId="10" fillId="2" borderId="18" xfId="0" applyFont="1" applyFill="1" applyBorder="1" applyAlignment="1">
      <alignment horizontal="center" vertical="center"/>
    </xf>
    <xf numFmtId="0" fontId="10" fillId="2" borderId="19" xfId="0" applyFont="1" applyFill="1" applyBorder="1" applyAlignment="1">
      <alignment horizontal="center" vertical="center"/>
    </xf>
    <xf numFmtId="14" fontId="3" fillId="0" borderId="8" xfId="0" applyNumberFormat="1" applyFont="1" applyBorder="1" applyAlignment="1">
      <alignment horizontal="center"/>
    </xf>
    <xf numFmtId="0" fontId="13" fillId="0" borderId="3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center"/>
    </xf>
    <xf numFmtId="0" fontId="12" fillId="3" borderId="3" xfId="0" applyFont="1" applyFill="1" applyBorder="1" applyAlignment="1">
      <alignment horizontal="right" vertical="top"/>
    </xf>
    <xf numFmtId="0" fontId="12" fillId="3" borderId="1" xfId="0" applyFont="1" applyFill="1" applyBorder="1" applyAlignment="1">
      <alignment horizontal="right" vertical="top"/>
    </xf>
    <xf numFmtId="0" fontId="12" fillId="3" borderId="4" xfId="0" applyFont="1" applyFill="1" applyBorder="1" applyAlignment="1">
      <alignment horizontal="right" vertical="top"/>
    </xf>
    <xf numFmtId="0" fontId="13" fillId="0" borderId="1" xfId="0" applyFont="1" applyBorder="1" applyAlignment="1">
      <alignment horizontal="center" vertical="top" wrapText="1"/>
    </xf>
    <xf numFmtId="0" fontId="13" fillId="0" borderId="2" xfId="0" applyFont="1" applyBorder="1" applyAlignment="1">
      <alignment horizontal="center" vertical="top" wrapText="1"/>
    </xf>
    <xf numFmtId="0" fontId="13" fillId="0" borderId="4" xfId="0" applyFont="1" applyBorder="1" applyAlignment="1">
      <alignment horizontal="center" vertical="top" wrapText="1"/>
    </xf>
  </cellXfs>
  <cellStyles count="1">
    <cellStyle name="Normal" xfId="0" builtinId="0"/>
  </cellStyles>
  <dxfs count="25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165100</xdr:rowOff>
        </xdr:from>
        <xdr:to>
          <xdr:col>7</xdr:col>
          <xdr:colOff>1879600</xdr:colOff>
          <xdr:row>17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mailto:Perry.Hamilton@novascotia.ca" TargetMode="External"/><Relationship Id="rId1" Type="http://schemas.openxmlformats.org/officeDocument/2006/relationships/hyperlink" Target="tel:(902)%20667-628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tel:(902)%20667-6285" TargetMode="External"/><Relationship Id="rId1" Type="http://schemas.openxmlformats.org/officeDocument/2006/relationships/hyperlink" Target="mailto:Perry.Hamilton@novascotia.ca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tel:(902)%20667-6285" TargetMode="External"/><Relationship Id="rId1" Type="http://schemas.openxmlformats.org/officeDocument/2006/relationships/hyperlink" Target="mailto:Perry.Hamilton@novascotia.c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ECB46-273A-2E4D-83A5-EA4FB6EC5DAD}">
  <sheetPr codeName="Sheet2"/>
  <dimension ref="B1:I31"/>
  <sheetViews>
    <sheetView showGridLines="0" tabSelected="1" zoomScaleNormal="100" workbookViewId="0">
      <pane xSplit="16" ySplit="54" topLeftCell="AL55" activePane="bottomRight" state="frozen"/>
      <selection pane="topRight" activeCell="Q1" sqref="Q1"/>
      <selection pane="bottomLeft" activeCell="A58" sqref="A58"/>
      <selection pane="bottomRight" activeCell="D17" sqref="D17"/>
    </sheetView>
  </sheetViews>
  <sheetFormatPr baseColWidth="10" defaultRowHeight="15" x14ac:dyDescent="0.2"/>
  <cols>
    <col min="1" max="1" width="10.83203125" style="31"/>
    <col min="2" max="2" width="43.6640625" style="31" hidden="1" customWidth="1"/>
    <col min="3" max="3" width="5.33203125" style="31" customWidth="1"/>
    <col min="4" max="4" width="55.83203125" style="31" customWidth="1"/>
    <col min="5" max="5" width="29.6640625" style="31" customWidth="1"/>
    <col min="6" max="6" width="58.33203125" style="31" customWidth="1"/>
    <col min="7" max="7" width="10.83203125" style="31"/>
    <col min="8" max="8" width="24.83203125" style="31" customWidth="1"/>
    <col min="9" max="16384" width="10.83203125" style="31"/>
  </cols>
  <sheetData>
    <row r="1" spans="3:9" hidden="1" x14ac:dyDescent="0.2"/>
    <row r="2" spans="3:9" hidden="1" x14ac:dyDescent="0.2"/>
    <row r="3" spans="3:9" hidden="1" x14ac:dyDescent="0.2"/>
    <row r="4" spans="3:9" hidden="1" x14ac:dyDescent="0.2"/>
    <row r="5" spans="3:9" hidden="1" x14ac:dyDescent="0.2"/>
    <row r="6" spans="3:9" hidden="1" x14ac:dyDescent="0.2"/>
    <row r="7" spans="3:9" hidden="1" x14ac:dyDescent="0.2"/>
    <row r="8" spans="3:9" hidden="1" x14ac:dyDescent="0.2"/>
    <row r="9" spans="3:9" hidden="1" x14ac:dyDescent="0.2"/>
    <row r="10" spans="3:9" hidden="1" x14ac:dyDescent="0.2"/>
    <row r="11" spans="3:9" hidden="1" x14ac:dyDescent="0.2"/>
    <row r="12" spans="3:9" hidden="1" x14ac:dyDescent="0.2"/>
    <row r="13" spans="3:9" ht="123" customHeight="1" x14ac:dyDescent="0.25">
      <c r="E13" s="78" t="s">
        <v>120</v>
      </c>
      <c r="F13" s="79"/>
    </row>
    <row r="14" spans="3:9" x14ac:dyDescent="0.2">
      <c r="C14" s="83"/>
      <c r="D14" s="83"/>
      <c r="E14" s="83"/>
      <c r="F14" s="83"/>
      <c r="G14" s="83"/>
      <c r="H14" s="83"/>
      <c r="I14" s="83"/>
    </row>
    <row r="15" spans="3:9" ht="21" x14ac:dyDescent="0.25">
      <c r="C15" s="83"/>
      <c r="D15" s="55"/>
      <c r="E15" s="55"/>
      <c r="F15" s="55"/>
      <c r="G15" s="55"/>
      <c r="H15" s="17"/>
      <c r="I15" s="83"/>
    </row>
    <row r="16" spans="3:9" ht="24" x14ac:dyDescent="0.3">
      <c r="C16" s="83"/>
      <c r="D16" s="19" t="s">
        <v>102</v>
      </c>
      <c r="E16" s="19" t="s">
        <v>105</v>
      </c>
      <c r="F16" s="19" t="s">
        <v>106</v>
      </c>
      <c r="G16" s="55"/>
      <c r="H16" s="20" t="str">
        <f>IF(D17 = "", "INCOMPLETE", IF( E17 = "", "INCOMPLETE", IF(F17 = "", "INCOMPLETE", "COMPLETE")))</f>
        <v>INCOMPLETE</v>
      </c>
      <c r="I16" s="83"/>
    </row>
    <row r="17" spans="3:9" ht="37" customHeight="1" x14ac:dyDescent="0.25">
      <c r="C17" s="83"/>
      <c r="D17" s="18"/>
      <c r="E17" s="18"/>
      <c r="F17" s="18"/>
      <c r="G17" s="55"/>
      <c r="H17" s="17"/>
      <c r="I17" s="83"/>
    </row>
    <row r="18" spans="3:9" x14ac:dyDescent="0.2">
      <c r="C18" s="83"/>
      <c r="D18" s="82"/>
      <c r="E18" s="82"/>
      <c r="F18" s="82"/>
      <c r="G18" s="55"/>
      <c r="H18" s="55"/>
      <c r="I18" s="83"/>
    </row>
    <row r="19" spans="3:9" x14ac:dyDescent="0.2">
      <c r="C19" s="83"/>
      <c r="D19" s="83"/>
      <c r="E19" s="83"/>
      <c r="F19" s="83"/>
      <c r="G19" s="55"/>
      <c r="H19" s="55"/>
      <c r="I19" s="83"/>
    </row>
    <row r="20" spans="3:9" x14ac:dyDescent="0.2">
      <c r="C20" s="83"/>
      <c r="D20" s="83"/>
      <c r="E20" s="83"/>
      <c r="F20" s="83"/>
      <c r="G20" s="55"/>
      <c r="H20" s="55"/>
      <c r="I20" s="83"/>
    </row>
    <row r="22" spans="3:9" x14ac:dyDescent="0.2">
      <c r="D22" s="81"/>
      <c r="E22" s="81"/>
      <c r="F22" s="81"/>
      <c r="G22" s="81"/>
      <c r="H22" s="81"/>
    </row>
    <row r="23" spans="3:9" ht="15" customHeight="1" x14ac:dyDescent="0.2">
      <c r="D23" s="80" t="s">
        <v>115</v>
      </c>
      <c r="E23" s="80"/>
      <c r="F23" s="80"/>
      <c r="G23" s="80"/>
      <c r="H23" s="80"/>
    </row>
    <row r="24" spans="3:9" x14ac:dyDescent="0.2">
      <c r="D24" s="80"/>
      <c r="E24" s="80"/>
      <c r="F24" s="80"/>
      <c r="G24" s="80"/>
      <c r="H24" s="80"/>
    </row>
    <row r="25" spans="3:9" x14ac:dyDescent="0.2">
      <c r="D25" s="80"/>
      <c r="E25" s="80"/>
      <c r="F25" s="80"/>
      <c r="G25" s="80"/>
      <c r="H25" s="80"/>
    </row>
    <row r="26" spans="3:9" x14ac:dyDescent="0.2">
      <c r="D26" s="80"/>
      <c r="E26" s="80"/>
      <c r="F26" s="80"/>
      <c r="G26" s="80"/>
      <c r="H26" s="80"/>
    </row>
    <row r="27" spans="3:9" x14ac:dyDescent="0.2">
      <c r="D27" s="80"/>
      <c r="E27" s="80"/>
      <c r="F27" s="80"/>
      <c r="G27" s="80"/>
      <c r="H27" s="80"/>
    </row>
    <row r="28" spans="3:9" x14ac:dyDescent="0.2">
      <c r="D28" s="80"/>
      <c r="E28" s="80"/>
      <c r="F28" s="80"/>
      <c r="G28" s="80"/>
      <c r="H28" s="80"/>
    </row>
    <row r="29" spans="3:9" x14ac:dyDescent="0.2">
      <c r="D29" s="80"/>
      <c r="E29" s="80"/>
      <c r="F29" s="80"/>
      <c r="G29" s="80"/>
      <c r="H29" s="80"/>
    </row>
    <row r="30" spans="3:9" x14ac:dyDescent="0.2">
      <c r="D30" s="80"/>
      <c r="E30" s="80"/>
      <c r="F30" s="80"/>
      <c r="G30" s="80"/>
      <c r="H30" s="80"/>
    </row>
    <row r="31" spans="3:9" x14ac:dyDescent="0.2">
      <c r="E31" s="56"/>
    </row>
  </sheetData>
  <sheetProtection formatCells="0"/>
  <mergeCells count="7">
    <mergeCell ref="E13:F13"/>
    <mergeCell ref="D23:H30"/>
    <mergeCell ref="D22:H22"/>
    <mergeCell ref="D18:F20"/>
    <mergeCell ref="C15:C20"/>
    <mergeCell ref="C14:I14"/>
    <mergeCell ref="I15:I20"/>
  </mergeCells>
  <conditionalFormatting sqref="H16">
    <cfRule type="cellIs" dxfId="252" priority="1" operator="equal">
      <formula>"COMPLETE"</formula>
    </cfRule>
    <cfRule type="cellIs" dxfId="251" priority="2" operator="equal">
      <formula>"INCOMPLETE"</formula>
    </cfRule>
  </conditionalFormatting>
  <pageMargins left="0.7" right="0.7" top="0.75" bottom="0.75" header="0.3" footer="0.3"/>
  <pageSetup fitToWidth="0" fitToHeight="0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reateForm">
                <anchor moveWithCells="1" sizeWithCells="1">
                  <from>
                    <xdr:col>7</xdr:col>
                    <xdr:colOff>12700</xdr:colOff>
                    <xdr:row>16</xdr:row>
                    <xdr:rowOff>165100</xdr:rowOff>
                  </from>
                  <to>
                    <xdr:col>7</xdr:col>
                    <xdr:colOff>1879600</xdr:colOff>
                    <xdr:row>17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83FD7C2-9AD4-C041-A25A-14F829CC897A}">
          <x14:formula1>
            <xm:f>Reference!$B$13:$B$15</xm:f>
          </x14:formula1>
          <xm:sqref>D17</xm:sqref>
        </x14:dataValidation>
        <x14:dataValidation type="list" allowBlank="1" showInputMessage="1" showErrorMessage="1" xr:uid="{33DFE588-AA7C-A84F-B19B-AE2FF899D1FC}">
          <x14:formula1>
            <xm:f>Reference!$J$3:$J$4</xm:f>
          </x14:formula1>
          <xm:sqref>E17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914E1-2CC8-9348-98F0-002D46CB07D9}">
  <sheetPr codeName="Sheet3"/>
  <dimension ref="A2:Y38"/>
  <sheetViews>
    <sheetView showGridLines="0" workbookViewId="0">
      <selection activeCell="B23" sqref="B23:H23"/>
    </sheetView>
  </sheetViews>
  <sheetFormatPr baseColWidth="10" defaultRowHeight="15" x14ac:dyDescent="0.2"/>
  <cols>
    <col min="1" max="1" width="10.1640625" style="31" customWidth="1"/>
    <col min="2" max="2" width="64.1640625" style="31" customWidth="1"/>
    <col min="3" max="3" width="20.33203125" style="43" customWidth="1"/>
    <col min="4" max="4" width="65.33203125" style="31" customWidth="1"/>
    <col min="5" max="5" width="62.1640625" style="43" customWidth="1"/>
    <col min="6" max="6" width="47.5" style="31" customWidth="1"/>
    <col min="7" max="7" width="1.83203125" style="43" customWidth="1"/>
    <col min="8" max="8" width="14.6640625" style="31" bestFit="1" customWidth="1"/>
    <col min="9" max="9" width="1.83203125" style="43" customWidth="1"/>
    <col min="10" max="10" width="10.83203125" style="31"/>
    <col min="11" max="11" width="1.83203125" style="43" customWidth="1"/>
    <col min="12" max="12" width="25.83203125" style="31" bestFit="1" customWidth="1"/>
    <col min="13" max="13" width="1.83203125" style="43" customWidth="1"/>
    <col min="14" max="17" width="10.83203125" style="31"/>
    <col min="18" max="18" width="1.83203125" style="43" customWidth="1"/>
    <col min="19" max="19" width="10.83203125" style="31"/>
    <col min="20" max="20" width="1.83203125" style="31" customWidth="1"/>
    <col min="21" max="21" width="25.6640625" style="31" customWidth="1"/>
    <col min="22" max="22" width="1.83203125" style="31" customWidth="1"/>
    <col min="23" max="23" width="10.6640625" style="31" customWidth="1"/>
    <col min="24" max="24" width="2" style="31" customWidth="1"/>
    <col min="25" max="25" width="14.6640625" style="31" customWidth="1"/>
    <col min="26" max="16384" width="10.83203125" style="31"/>
  </cols>
  <sheetData>
    <row r="2" spans="2:25" s="44" customFormat="1" x14ac:dyDescent="0.2">
      <c r="B2" s="42" t="s">
        <v>14</v>
      </c>
      <c r="C2" s="43"/>
      <c r="D2" s="42" t="s">
        <v>55</v>
      </c>
      <c r="E2" s="43"/>
      <c r="F2" s="42" t="s">
        <v>58</v>
      </c>
      <c r="G2" s="43"/>
      <c r="H2" s="42" t="s">
        <v>4</v>
      </c>
      <c r="I2" s="43"/>
      <c r="J2" s="42" t="s">
        <v>13</v>
      </c>
      <c r="K2" s="43"/>
      <c r="L2" s="42" t="s">
        <v>12</v>
      </c>
      <c r="M2" s="43"/>
      <c r="N2" s="84" t="s">
        <v>27</v>
      </c>
      <c r="O2" s="85"/>
      <c r="P2" s="85"/>
      <c r="Q2" s="86"/>
      <c r="R2" s="43"/>
      <c r="S2" s="42" t="s">
        <v>3</v>
      </c>
      <c r="U2" s="42" t="s">
        <v>75</v>
      </c>
      <c r="W2" s="7" t="s">
        <v>76</v>
      </c>
      <c r="Y2" s="42" t="s">
        <v>81</v>
      </c>
    </row>
    <row r="3" spans="2:25" x14ac:dyDescent="0.2">
      <c r="B3" s="45" t="s">
        <v>11</v>
      </c>
      <c r="D3" s="45" t="s">
        <v>57</v>
      </c>
      <c r="F3" s="45" t="s">
        <v>60</v>
      </c>
      <c r="H3" s="45" t="s">
        <v>5</v>
      </c>
      <c r="J3" s="45" t="s">
        <v>10</v>
      </c>
      <c r="L3" s="46">
        <f ca="1" xml:space="preserve"> TODAY()</f>
        <v>43782</v>
      </c>
      <c r="N3" s="47" t="s">
        <v>26</v>
      </c>
      <c r="O3" s="42" t="s">
        <v>25</v>
      </c>
      <c r="P3" s="42" t="s">
        <v>24</v>
      </c>
      <c r="Q3" s="42" t="s">
        <v>70</v>
      </c>
      <c r="S3" s="48" t="s">
        <v>23</v>
      </c>
      <c r="U3" s="45" t="s">
        <v>87</v>
      </c>
      <c r="W3" s="8" t="s">
        <v>77</v>
      </c>
      <c r="Y3" s="45" t="s">
        <v>82</v>
      </c>
    </row>
    <row r="4" spans="2:25" x14ac:dyDescent="0.2">
      <c r="B4" s="45" t="s">
        <v>9</v>
      </c>
      <c r="D4" s="45" t="s">
        <v>117</v>
      </c>
      <c r="F4" s="45" t="s">
        <v>59</v>
      </c>
      <c r="H4" s="45" t="s">
        <v>110</v>
      </c>
      <c r="J4" s="45" t="s">
        <v>8</v>
      </c>
      <c r="L4" s="49">
        <f ca="1" xml:space="preserve"> WORKDAY(L3,4)</f>
        <v>43788</v>
      </c>
      <c r="N4" s="50">
        <v>1</v>
      </c>
      <c r="O4" s="51" t="s">
        <v>22</v>
      </c>
      <c r="P4" s="48" t="s">
        <v>21</v>
      </c>
      <c r="Q4" s="48" t="s">
        <v>71</v>
      </c>
      <c r="S4" s="48" t="s">
        <v>20</v>
      </c>
      <c r="U4" s="45" t="s">
        <v>86</v>
      </c>
      <c r="W4" s="8" t="s">
        <v>78</v>
      </c>
      <c r="Y4" s="45" t="s">
        <v>83</v>
      </c>
    </row>
    <row r="5" spans="2:25" x14ac:dyDescent="0.2">
      <c r="B5" s="45" t="s">
        <v>88</v>
      </c>
      <c r="D5" s="45" t="s">
        <v>56</v>
      </c>
      <c r="H5" s="45" t="s">
        <v>111</v>
      </c>
      <c r="L5" s="49">
        <f ca="1" xml:space="preserve"> WORKDAY(L4,1)</f>
        <v>43789</v>
      </c>
      <c r="N5" s="50">
        <v>2</v>
      </c>
      <c r="O5" s="48" t="s">
        <v>19</v>
      </c>
      <c r="P5" s="48" t="s">
        <v>18</v>
      </c>
      <c r="Q5" s="48" t="s">
        <v>72</v>
      </c>
      <c r="U5" s="52"/>
      <c r="W5" s="8" t="s">
        <v>79</v>
      </c>
    </row>
    <row r="6" spans="2:25" x14ac:dyDescent="0.2">
      <c r="B6" s="45"/>
      <c r="L6" s="49">
        <f t="shared" ref="L6:L13" ca="1" si="0" xml:space="preserve"> WORKDAY(L5,1)</f>
        <v>43790</v>
      </c>
      <c r="N6" s="50">
        <v>3</v>
      </c>
      <c r="O6" s="48" t="s">
        <v>17</v>
      </c>
      <c r="P6" s="48"/>
      <c r="Q6" s="48"/>
      <c r="S6" s="42" t="s">
        <v>132</v>
      </c>
    </row>
    <row r="7" spans="2:25" x14ac:dyDescent="0.2">
      <c r="F7" s="42" t="s">
        <v>123</v>
      </c>
      <c r="L7" s="49">
        <f ca="1" xml:space="preserve"> WORKDAY(L6,1)</f>
        <v>43791</v>
      </c>
      <c r="N7" s="50">
        <v>4</v>
      </c>
      <c r="O7" s="48" t="s">
        <v>16</v>
      </c>
      <c r="P7" s="48"/>
      <c r="Q7" s="48"/>
      <c r="S7" s="48" t="s">
        <v>133</v>
      </c>
    </row>
    <row r="8" spans="2:25" x14ac:dyDescent="0.2">
      <c r="F8" s="45" t="s">
        <v>122</v>
      </c>
      <c r="L8" s="49">
        <f t="shared" ca="1" si="0"/>
        <v>43794</v>
      </c>
      <c r="N8" s="50">
        <v>5</v>
      </c>
      <c r="O8" s="48"/>
      <c r="P8" s="48"/>
      <c r="Q8" s="48"/>
      <c r="S8" s="48" t="s">
        <v>134</v>
      </c>
    </row>
    <row r="9" spans="2:25" x14ac:dyDescent="0.2">
      <c r="F9" s="45" t="s">
        <v>124</v>
      </c>
      <c r="L9" s="49">
        <f t="shared" ca="1" si="0"/>
        <v>43795</v>
      </c>
      <c r="N9" s="50">
        <v>6</v>
      </c>
      <c r="O9" s="48"/>
      <c r="P9" s="48"/>
      <c r="Q9" s="48"/>
    </row>
    <row r="10" spans="2:25" x14ac:dyDescent="0.2">
      <c r="L10" s="49">
        <f t="shared" ca="1" si="0"/>
        <v>43796</v>
      </c>
      <c r="N10" s="50">
        <v>7</v>
      </c>
      <c r="O10" s="48"/>
      <c r="P10" s="48"/>
      <c r="Q10" s="48"/>
    </row>
    <row r="11" spans="2:25" x14ac:dyDescent="0.2">
      <c r="L11" s="49">
        <f t="shared" ca="1" si="0"/>
        <v>43797</v>
      </c>
      <c r="N11" s="50">
        <v>8</v>
      </c>
      <c r="O11" s="48"/>
      <c r="P11" s="48"/>
      <c r="Q11" s="48"/>
    </row>
    <row r="12" spans="2:25" x14ac:dyDescent="0.2">
      <c r="B12" s="42" t="s">
        <v>92</v>
      </c>
      <c r="D12" s="42" t="s">
        <v>92</v>
      </c>
      <c r="L12" s="49">
        <f t="shared" ca="1" si="0"/>
        <v>43798</v>
      </c>
      <c r="N12" s="50">
        <v>9</v>
      </c>
      <c r="O12" s="48"/>
      <c r="P12" s="48"/>
      <c r="Q12" s="48"/>
    </row>
    <row r="13" spans="2:25" x14ac:dyDescent="0.2">
      <c r="B13" s="45" t="s">
        <v>109</v>
      </c>
      <c r="D13" s="45" t="s">
        <v>103</v>
      </c>
      <c r="L13" s="49">
        <f t="shared" ca="1" si="0"/>
        <v>43801</v>
      </c>
      <c r="N13" s="50">
        <v>10</v>
      </c>
      <c r="O13" s="48"/>
      <c r="P13" s="48"/>
      <c r="Q13" s="48"/>
    </row>
    <row r="14" spans="2:25" x14ac:dyDescent="0.2">
      <c r="B14" s="45" t="s">
        <v>107</v>
      </c>
      <c r="D14" s="45" t="s">
        <v>104</v>
      </c>
      <c r="L14" s="53" t="s">
        <v>7</v>
      </c>
      <c r="N14" s="50">
        <v>11</v>
      </c>
      <c r="O14" s="48"/>
      <c r="P14" s="48"/>
      <c r="Q14" s="48"/>
    </row>
    <row r="15" spans="2:25" x14ac:dyDescent="0.2">
      <c r="B15" s="45" t="s">
        <v>108</v>
      </c>
      <c r="D15" s="45" t="s">
        <v>94</v>
      </c>
      <c r="L15" s="53" t="s">
        <v>62</v>
      </c>
      <c r="N15" s="50">
        <v>12</v>
      </c>
      <c r="O15" s="48"/>
      <c r="P15" s="48"/>
      <c r="Q15" s="48"/>
    </row>
    <row r="16" spans="2:25" x14ac:dyDescent="0.2">
      <c r="B16" s="45"/>
      <c r="D16" s="45" t="s">
        <v>8</v>
      </c>
      <c r="N16" s="54"/>
      <c r="O16" s="44"/>
      <c r="P16" s="44"/>
      <c r="Q16" s="44"/>
    </row>
    <row r="17" spans="1:14" x14ac:dyDescent="0.2">
      <c r="H17" s="31" t="s">
        <v>61</v>
      </c>
      <c r="N17" s="54"/>
    </row>
    <row r="18" spans="1:14" x14ac:dyDescent="0.2">
      <c r="N18" s="54"/>
    </row>
    <row r="19" spans="1:14" x14ac:dyDescent="0.2">
      <c r="N19" s="54"/>
    </row>
    <row r="20" spans="1:14" x14ac:dyDescent="0.2">
      <c r="N20" s="54"/>
    </row>
    <row r="21" spans="1:14" x14ac:dyDescent="0.2">
      <c r="N21" s="54"/>
    </row>
    <row r="22" spans="1:14" x14ac:dyDescent="0.2">
      <c r="N22" s="54"/>
    </row>
    <row r="23" spans="1:14" x14ac:dyDescent="0.2">
      <c r="A23" s="45" t="s">
        <v>144</v>
      </c>
      <c r="B23" s="87" t="s">
        <v>121</v>
      </c>
      <c r="C23" s="87"/>
      <c r="D23" s="87"/>
      <c r="N23" s="54"/>
    </row>
    <row r="24" spans="1:14" x14ac:dyDescent="0.2">
      <c r="A24" s="45" t="s">
        <v>59</v>
      </c>
      <c r="B24" s="45" t="s">
        <v>137</v>
      </c>
      <c r="C24" s="45" t="s">
        <v>138</v>
      </c>
      <c r="D24" s="76"/>
    </row>
    <row r="25" spans="1:14" x14ac:dyDescent="0.2">
      <c r="A25" s="45" t="s">
        <v>60</v>
      </c>
      <c r="B25" s="45" t="s">
        <v>139</v>
      </c>
      <c r="C25" s="45" t="s">
        <v>140</v>
      </c>
      <c r="D25" s="45" t="s">
        <v>141</v>
      </c>
    </row>
    <row r="26" spans="1:14" x14ac:dyDescent="0.2">
      <c r="A26" s="52"/>
    </row>
    <row r="27" spans="1:14" x14ac:dyDescent="0.2">
      <c r="A27" s="52"/>
    </row>
    <row r="28" spans="1:14" x14ac:dyDescent="0.2">
      <c r="B28"/>
      <c r="C28"/>
      <c r="D28"/>
      <c r="E28"/>
      <c r="F28"/>
      <c r="G28"/>
      <c r="H28"/>
      <c r="I28"/>
      <c r="J28"/>
    </row>
    <row r="29" spans="1:14" x14ac:dyDescent="0.2">
      <c r="B29"/>
      <c r="C29"/>
      <c r="D29"/>
      <c r="E29"/>
      <c r="F29"/>
      <c r="G29"/>
      <c r="H29"/>
      <c r="I29"/>
      <c r="J29"/>
    </row>
    <row r="30" spans="1:14" x14ac:dyDescent="0.2">
      <c r="B30"/>
      <c r="C30"/>
      <c r="D30"/>
      <c r="E30"/>
      <c r="F30"/>
      <c r="G30"/>
      <c r="H30"/>
      <c r="I30"/>
      <c r="J30"/>
    </row>
    <row r="31" spans="1:14" x14ac:dyDescent="0.2">
      <c r="B31"/>
      <c r="C31"/>
      <c r="D31"/>
      <c r="E31"/>
      <c r="F31"/>
      <c r="G31"/>
      <c r="H31"/>
      <c r="I31"/>
      <c r="J31"/>
    </row>
    <row r="32" spans="1:14" x14ac:dyDescent="0.2">
      <c r="B32"/>
      <c r="C32"/>
      <c r="D32"/>
      <c r="E32"/>
      <c r="F32"/>
      <c r="G32"/>
      <c r="H32"/>
      <c r="I32"/>
      <c r="J32"/>
    </row>
    <row r="33" spans="2:10" x14ac:dyDescent="0.2">
      <c r="B33"/>
      <c r="C33"/>
      <c r="D33"/>
      <c r="E33"/>
      <c r="F33"/>
      <c r="G33"/>
      <c r="H33"/>
      <c r="I33"/>
      <c r="J33"/>
    </row>
    <row r="34" spans="2:10" x14ac:dyDescent="0.2">
      <c r="B34"/>
      <c r="C34"/>
      <c r="D34"/>
      <c r="E34"/>
      <c r="F34"/>
      <c r="G34"/>
      <c r="H34"/>
      <c r="I34"/>
      <c r="J34"/>
    </row>
    <row r="35" spans="2:10" x14ac:dyDescent="0.2">
      <c r="B35"/>
      <c r="C35"/>
      <c r="D35"/>
      <c r="E35"/>
      <c r="F35"/>
      <c r="G35"/>
      <c r="H35"/>
      <c r="I35"/>
      <c r="J35"/>
    </row>
    <row r="36" spans="2:10" x14ac:dyDescent="0.2">
      <c r="B36"/>
      <c r="C36"/>
      <c r="D36"/>
      <c r="E36"/>
      <c r="F36"/>
      <c r="G36"/>
      <c r="H36"/>
      <c r="I36"/>
      <c r="J36"/>
    </row>
    <row r="37" spans="2:10" x14ac:dyDescent="0.2">
      <c r="B37"/>
      <c r="C37"/>
      <c r="D37"/>
      <c r="E37"/>
      <c r="F37"/>
      <c r="G37"/>
      <c r="H37"/>
      <c r="I37"/>
      <c r="J37"/>
    </row>
    <row r="38" spans="2:10" x14ac:dyDescent="0.2">
      <c r="B38"/>
      <c r="C38"/>
      <c r="D38"/>
      <c r="E38"/>
      <c r="F38"/>
      <c r="G38"/>
      <c r="H38"/>
      <c r="I38"/>
      <c r="J38"/>
    </row>
  </sheetData>
  <sortState xmlns:xlrd2="http://schemas.microsoft.com/office/spreadsheetml/2017/richdata2" ref="B3:B4">
    <sortCondition ref="B3"/>
  </sortState>
  <mergeCells count="2">
    <mergeCell ref="N2:Q2"/>
    <mergeCell ref="B23:D2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B7069-D071-464F-995E-19CA88F57C41}">
  <sheetPr codeName="Sheet9"/>
  <dimension ref="D3:O27"/>
  <sheetViews>
    <sheetView showGridLines="0" workbookViewId="0">
      <pane xSplit="12" ySplit="36" topLeftCell="M53" activePane="bottomRight" state="frozen"/>
      <selection activeCell="D18" sqref="D18:F20"/>
      <selection pane="topRight" activeCell="D18" sqref="D18:F20"/>
      <selection pane="bottomLeft" activeCell="D18" sqref="D18:F20"/>
      <selection pane="bottomRight" activeCell="E9" sqref="E9"/>
    </sheetView>
  </sheetViews>
  <sheetFormatPr baseColWidth="10" defaultRowHeight="15" x14ac:dyDescent="0.2"/>
  <cols>
    <col min="1" max="3" width="10.83203125" style="31"/>
    <col min="4" max="4" width="35.83203125" style="31" customWidth="1"/>
    <col min="5" max="5" width="55.1640625" style="31" customWidth="1"/>
    <col min="6" max="6" width="18.5" style="31" customWidth="1"/>
    <col min="7" max="16384" width="10.83203125" style="31"/>
  </cols>
  <sheetData>
    <row r="3" spans="4:6" ht="14" customHeight="1" x14ac:dyDescent="0.2"/>
    <row r="4" spans="4:6" hidden="1" x14ac:dyDescent="0.2"/>
    <row r="5" spans="4:6" ht="53" customHeight="1" x14ac:dyDescent="0.2">
      <c r="D5" s="88" t="s">
        <v>0</v>
      </c>
      <c r="E5" s="89"/>
      <c r="F5" s="90"/>
    </row>
    <row r="6" spans="4:6" ht="44" customHeight="1" x14ac:dyDescent="0.2">
      <c r="D6" s="91" t="s">
        <v>95</v>
      </c>
      <c r="E6" s="92"/>
      <c r="F6" s="32" t="s">
        <v>69</v>
      </c>
    </row>
    <row r="7" spans="4:6" ht="24" x14ac:dyDescent="0.3">
      <c r="D7" s="33" t="s">
        <v>28</v>
      </c>
      <c r="E7" s="28"/>
      <c r="F7" s="34" t="str">
        <f>IF(E7 = "", "REQUIRED", "COMPLETE")</f>
        <v>REQUIRED</v>
      </c>
    </row>
    <row r="8" spans="4:6" ht="24" x14ac:dyDescent="0.3">
      <c r="D8" s="12" t="s">
        <v>29</v>
      </c>
      <c r="E8" s="29"/>
      <c r="F8" s="35" t="str">
        <f>IF(E8 = "", "REQUIRED", "COMPLETE")</f>
        <v>REQUIRED</v>
      </c>
    </row>
    <row r="9" spans="4:6" ht="24" x14ac:dyDescent="0.3">
      <c r="D9" s="12" t="s">
        <v>15</v>
      </c>
      <c r="E9" s="57" t="str">
        <f ca="1">IF(ISERROR(MID(CELL("filename",A1),FIND("-",CELL("filename",A1),FIND("]",CELL("filename",A1)))+1,4)), "TEST",MID(CELL("filename",A1),FIND("-",CELL("filename",A1),FIND("]",CELL("filename",A1)))+1,4))</f>
        <v>TEST</v>
      </c>
      <c r="F9" s="35" t="str">
        <f ca="1">IF(E9 = "", "REQUIRED", "COMPLETE")</f>
        <v>COMPLETE</v>
      </c>
    </row>
    <row r="10" spans="4:6" ht="24" x14ac:dyDescent="0.3">
      <c r="D10" s="12" t="s">
        <v>30</v>
      </c>
      <c r="E10" s="29"/>
      <c r="F10" s="35" t="str">
        <f>IF(E10 = "", "REQUIRED", "COMPLETE")</f>
        <v>REQUIRED</v>
      </c>
    </row>
    <row r="11" spans="4:6" ht="24" x14ac:dyDescent="0.3">
      <c r="D11" s="12" t="s">
        <v>96</v>
      </c>
      <c r="E11" s="13"/>
      <c r="F11" s="36" t="str">
        <f>IF(E11 = "", "REQUIRED", "COMPLETE")</f>
        <v>REQUIRED</v>
      </c>
    </row>
    <row r="12" spans="4:6" ht="29" customHeight="1" x14ac:dyDescent="0.2">
      <c r="D12" s="93" t="s">
        <v>97</v>
      </c>
      <c r="E12" s="94"/>
      <c r="F12" s="95"/>
    </row>
    <row r="13" spans="4:6" ht="24" x14ac:dyDescent="0.3">
      <c r="D13" s="14" t="s">
        <v>98</v>
      </c>
      <c r="E13" s="29"/>
      <c r="F13" s="34" t="str">
        <f>IF(E13 = "", "REQUIRED", "COMPLETE")</f>
        <v>REQUIRED</v>
      </c>
    </row>
    <row r="14" spans="4:6" ht="24" x14ac:dyDescent="0.3">
      <c r="D14" s="15" t="s">
        <v>118</v>
      </c>
      <c r="E14" s="29"/>
      <c r="F14" s="35" t="str">
        <f>IF(E14 = "", "REQUIRED", "COMPLETE")</f>
        <v>REQUIRED</v>
      </c>
    </row>
    <row r="15" spans="4:6" ht="24" x14ac:dyDescent="0.3">
      <c r="D15" s="15" t="s">
        <v>99</v>
      </c>
      <c r="E15" s="29"/>
      <c r="F15" s="96" t="str">
        <f>IF(E15 = "", "REQUIRED", "COMPLETE")</f>
        <v>REQUIRED</v>
      </c>
    </row>
    <row r="16" spans="4:6" ht="24" x14ac:dyDescent="0.3">
      <c r="D16" s="15" t="s">
        <v>100</v>
      </c>
      <c r="E16" s="29"/>
      <c r="F16" s="96"/>
    </row>
    <row r="17" spans="4:15" ht="24" x14ac:dyDescent="0.3">
      <c r="D17" s="15" t="s">
        <v>39</v>
      </c>
      <c r="E17" s="29"/>
      <c r="F17" s="96"/>
      <c r="O17" s="37"/>
    </row>
    <row r="18" spans="4:15" ht="24" x14ac:dyDescent="0.3">
      <c r="D18" s="16" t="s">
        <v>101</v>
      </c>
      <c r="E18" s="29"/>
      <c r="F18" s="36" t="str">
        <f>IF(E18 = "", "OPTIONAL", "COMPLETE")</f>
        <v>OPTIONAL</v>
      </c>
    </row>
    <row r="21" spans="4:15" x14ac:dyDescent="0.2">
      <c r="N21" s="38"/>
    </row>
    <row r="27" spans="4:15" x14ac:dyDescent="0.2">
      <c r="L27" s="38"/>
    </row>
  </sheetData>
  <mergeCells count="4">
    <mergeCell ref="D5:F5"/>
    <mergeCell ref="D6:E6"/>
    <mergeCell ref="D12:F12"/>
    <mergeCell ref="F15:F17"/>
  </mergeCells>
  <conditionalFormatting sqref="F7">
    <cfRule type="cellIs" dxfId="250" priority="36" operator="equal">
      <formula>"REQUIRED"</formula>
    </cfRule>
  </conditionalFormatting>
  <conditionalFormatting sqref="F7:F11">
    <cfRule type="cellIs" dxfId="249" priority="30" operator="equal">
      <formula>"NOT REQUIRED"</formula>
    </cfRule>
    <cfRule type="containsText" dxfId="248" priority="32" operator="containsText" text="Warning">
      <formula>NOT(ISERROR(SEARCH("Warning",F7)))</formula>
    </cfRule>
    <cfRule type="cellIs" dxfId="247" priority="33" operator="equal">
      <formula>"Warning*"</formula>
    </cfRule>
    <cfRule type="cellIs" dxfId="246" priority="34" operator="equal">
      <formula>"COMPLETE"</formula>
    </cfRule>
    <cfRule type="cellIs" dxfId="245" priority="35" operator="equal">
      <formula>"REQUIRED"</formula>
    </cfRule>
  </conditionalFormatting>
  <conditionalFormatting sqref="F6:F11">
    <cfRule type="containsText" dxfId="244" priority="29" operator="containsText" text="OPTIONAL">
      <formula>NOT(ISERROR(SEARCH("OPTIONAL",F6)))</formula>
    </cfRule>
    <cfRule type="containsText" dxfId="243" priority="31" operator="containsText" text="REQUIRED">
      <formula>NOT(ISERROR(SEARCH("REQUIRED",F6)))</formula>
    </cfRule>
  </conditionalFormatting>
  <conditionalFormatting sqref="F13">
    <cfRule type="cellIs" dxfId="242" priority="23" operator="equal">
      <formula>"NOT REQUIRED"</formula>
    </cfRule>
    <cfRule type="containsText" dxfId="241" priority="25" operator="containsText" text="Warning">
      <formula>NOT(ISERROR(SEARCH("Warning",F13)))</formula>
    </cfRule>
    <cfRule type="cellIs" dxfId="240" priority="26" operator="equal">
      <formula>"Warning*"</formula>
    </cfRule>
    <cfRule type="cellIs" dxfId="239" priority="27" operator="equal">
      <formula>"COMPLETE"</formula>
    </cfRule>
    <cfRule type="cellIs" dxfId="238" priority="28" operator="equal">
      <formula>"REQUIRED"</formula>
    </cfRule>
  </conditionalFormatting>
  <conditionalFormatting sqref="F13">
    <cfRule type="containsText" dxfId="237" priority="22" operator="containsText" text="OPTIONAL">
      <formula>NOT(ISERROR(SEARCH("OPTIONAL",F13)))</formula>
    </cfRule>
    <cfRule type="containsText" dxfId="236" priority="24" operator="containsText" text="REQUIRED">
      <formula>NOT(ISERROR(SEARCH("REQUIRED",F13)))</formula>
    </cfRule>
  </conditionalFormatting>
  <conditionalFormatting sqref="F14">
    <cfRule type="cellIs" dxfId="235" priority="16" operator="equal">
      <formula>"NOT REQUIRED"</formula>
    </cfRule>
    <cfRule type="containsText" dxfId="234" priority="18" operator="containsText" text="Warning">
      <formula>NOT(ISERROR(SEARCH("Warning",F14)))</formula>
    </cfRule>
    <cfRule type="cellIs" dxfId="233" priority="19" operator="equal">
      <formula>"Warning*"</formula>
    </cfRule>
    <cfRule type="cellIs" dxfId="232" priority="20" operator="equal">
      <formula>"COMPLETE"</formula>
    </cfRule>
    <cfRule type="cellIs" dxfId="231" priority="21" operator="equal">
      <formula>"REQUIRED"</formula>
    </cfRule>
  </conditionalFormatting>
  <conditionalFormatting sqref="F14">
    <cfRule type="containsText" dxfId="230" priority="15" operator="containsText" text="OPTIONAL">
      <formula>NOT(ISERROR(SEARCH("OPTIONAL",F14)))</formula>
    </cfRule>
    <cfRule type="containsText" dxfId="229" priority="17" operator="containsText" text="REQUIRED">
      <formula>NOT(ISERROR(SEARCH("REQUIRED",F14)))</formula>
    </cfRule>
  </conditionalFormatting>
  <conditionalFormatting sqref="F15">
    <cfRule type="cellIs" dxfId="228" priority="9" operator="equal">
      <formula>"NOT REQUIRED"</formula>
    </cfRule>
    <cfRule type="containsText" dxfId="227" priority="11" operator="containsText" text="Warning">
      <formula>NOT(ISERROR(SEARCH("Warning",F15)))</formula>
    </cfRule>
    <cfRule type="cellIs" dxfId="226" priority="12" operator="equal">
      <formula>"Warning*"</formula>
    </cfRule>
    <cfRule type="cellIs" dxfId="225" priority="13" operator="equal">
      <formula>"COMPLETE"</formula>
    </cfRule>
    <cfRule type="cellIs" dxfId="224" priority="14" operator="equal">
      <formula>"REQUIRED"</formula>
    </cfRule>
  </conditionalFormatting>
  <conditionalFormatting sqref="F15">
    <cfRule type="containsText" dxfId="223" priority="8" operator="containsText" text="OPTIONAL">
      <formula>NOT(ISERROR(SEARCH("OPTIONAL",F15)))</formula>
    </cfRule>
    <cfRule type="containsText" dxfId="222" priority="10" operator="containsText" text="REQUIRED">
      <formula>NOT(ISERROR(SEARCH("REQUIRED",F15)))</formula>
    </cfRule>
  </conditionalFormatting>
  <conditionalFormatting sqref="F18">
    <cfRule type="cellIs" dxfId="221" priority="2" operator="equal">
      <formula>"NOT REQUIRED"</formula>
    </cfRule>
    <cfRule type="containsText" dxfId="220" priority="4" operator="containsText" text="Warning">
      <formula>NOT(ISERROR(SEARCH("Warning",F18)))</formula>
    </cfRule>
    <cfRule type="cellIs" dxfId="219" priority="5" operator="equal">
      <formula>"Warning*"</formula>
    </cfRule>
    <cfRule type="cellIs" dxfId="218" priority="6" operator="equal">
      <formula>"COMPLETE"</formula>
    </cfRule>
    <cfRule type="cellIs" dxfId="217" priority="7" operator="equal">
      <formula>"REQUIRED"</formula>
    </cfRule>
  </conditionalFormatting>
  <conditionalFormatting sqref="F18">
    <cfRule type="containsText" dxfId="216" priority="1" operator="containsText" text="OPTIONAL">
      <formula>NOT(ISERROR(SEARCH("OPTIONAL",F18)))</formula>
    </cfRule>
    <cfRule type="containsText" dxfId="215" priority="3" operator="containsText" text="REQUIRED">
      <formula>NOT(ISERROR(SEARCH("REQUIRED",F18)))</formula>
    </cfRule>
  </conditionalFormatting>
  <hyperlinks>
    <hyperlink ref="D15" r:id="rId1" display="tel:(902) 667-6285" xr:uid="{A995E542-B719-6649-A98F-D6A834ABE969}"/>
    <hyperlink ref="D17" r:id="rId2" display="mailto:Perry.Hamilton@novascotia.ca" xr:uid="{FD02672B-AE20-7A4D-A152-D98D6C95CE3D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information" allowBlank="1" showInputMessage="1" promptTitle="Select a date" prompt="The next 10 business days starting 3 business days out are displayed. _x000a__x000a_Please select the maximum amount of time allowed for the change._x000a__x000a_Select Urgent if there is a need to have this request completed in less than 3 business days._x000a_" xr:uid="{7D1CE8D4-61E9-3C42-A6D8-0A7645201803}">
          <x14:formula1>
            <xm:f>Reference!$L$3:$L$15</xm:f>
          </x14:formula1>
          <xm:sqref>E11</xm:sqref>
        </x14:dataValidation>
        <x14:dataValidation type="list" allowBlank="1" showInputMessage="1" showErrorMessage="1" promptTitle="Please Select the Environment" prompt="TEST is for all test applications (UAT, QA, DEV)._x000a_PROD is the production environment." xr:uid="{D8DE5F9C-7D88-1846-A7CE-16BADF56A92A}">
          <x14:formula1>
            <xm:f>Reference!$J$3:$J$4</xm:f>
          </x14:formula1>
          <xm:sqref>E9</xm:sqref>
        </x14:dataValidation>
        <x14:dataValidation type="list" allowBlank="1" showInputMessage="1" showErrorMessage="1" promptTitle="Please Select Certificate Type" prompt="One Signing and One Encryption Certificate is the default configuration._x000a__x000a_Dual Purpose Certificates should be selected when only one certificate will be used by the Relying Party." xr:uid="{B7B22F59-8F58-7C4C-B927-FADB9D914F33}">
          <x14:formula1>
            <xm:f>Reference!$B$3:$B$4</xm:f>
          </x14:formula1>
          <xm:sqref>E10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D38B-CA66-CE45-9031-4E8D53FDA403}">
  <sheetPr codeName="Sheet1"/>
  <dimension ref="B1:N65"/>
  <sheetViews>
    <sheetView showGridLines="0" zoomScale="90" zoomScaleNormal="90" workbookViewId="0">
      <pane xSplit="9" ySplit="3" topLeftCell="J17" activePane="bottomRight" state="frozen"/>
      <selection activeCell="B23" sqref="B23:H23"/>
      <selection pane="topRight" activeCell="B23" sqref="B23:H23"/>
      <selection pane="bottomLeft" activeCell="B23" sqref="B23:H23"/>
      <selection pane="bottomRight" activeCell="J28" sqref="J28"/>
    </sheetView>
  </sheetViews>
  <sheetFormatPr baseColWidth="10" defaultRowHeight="15" x14ac:dyDescent="0.2"/>
  <cols>
    <col min="1" max="1" width="13.1640625" style="31" customWidth="1"/>
    <col min="2" max="2" width="38.6640625" style="31" customWidth="1"/>
    <col min="3" max="3" width="14" style="31" customWidth="1"/>
    <col min="4" max="4" width="43" style="31" customWidth="1"/>
    <col min="5" max="5" width="12.6640625" style="31" customWidth="1"/>
    <col min="6" max="6" width="9.5" style="31" customWidth="1"/>
    <col min="7" max="7" width="9.6640625" style="31" customWidth="1"/>
    <col min="8" max="8" width="13.1640625" style="31" customWidth="1"/>
    <col min="9" max="9" width="24.83203125" style="31" customWidth="1"/>
    <col min="10" max="10" width="31.83203125" style="31" customWidth="1"/>
    <col min="11" max="11" width="42.6640625" style="31" customWidth="1"/>
    <col min="12" max="12" width="24.5" style="31" hidden="1" customWidth="1"/>
    <col min="13" max="16384" width="10.83203125" style="31"/>
  </cols>
  <sheetData>
    <row r="1" spans="2:14" ht="23" customHeight="1" thickBot="1" x14ac:dyDescent="0.25"/>
    <row r="2" spans="2:14" ht="44" customHeight="1" x14ac:dyDescent="0.2">
      <c r="B2" s="144" t="s">
        <v>0</v>
      </c>
      <c r="C2" s="145"/>
      <c r="D2" s="145"/>
      <c r="E2" s="145"/>
      <c r="F2" s="145"/>
      <c r="G2" s="145"/>
      <c r="H2" s="145"/>
      <c r="I2" s="9" t="s">
        <v>89</v>
      </c>
    </row>
    <row r="3" spans="2:14" ht="44" customHeight="1" thickBot="1" x14ac:dyDescent="0.25">
      <c r="B3" s="146" t="s">
        <v>6</v>
      </c>
      <c r="C3" s="147"/>
      <c r="D3" s="147"/>
      <c r="E3" s="147"/>
      <c r="F3" s="147"/>
      <c r="G3" s="147"/>
      <c r="H3" s="147"/>
      <c r="I3" s="10" t="str">
        <f ca="1">IF(OR(COUNTIF(I5:I59, "REQUIRED") &gt;0, COUNTIF(I5:I59, "ERROR") &gt;0), "INCOMPLETE", "COMPLETE")</f>
        <v>INCOMPLETE</v>
      </c>
    </row>
    <row r="4" spans="2:14" ht="29" customHeight="1" x14ac:dyDescent="0.3">
      <c r="B4" s="112" t="s">
        <v>63</v>
      </c>
      <c r="C4" s="113"/>
      <c r="D4" s="113"/>
      <c r="E4" s="113"/>
      <c r="F4" s="113"/>
      <c r="G4" s="113"/>
      <c r="H4" s="114"/>
      <c r="I4" s="11" t="s">
        <v>69</v>
      </c>
    </row>
    <row r="5" spans="2:14" ht="25" customHeight="1" x14ac:dyDescent="0.3">
      <c r="B5" s="128" t="s">
        <v>28</v>
      </c>
      <c r="C5" s="128"/>
      <c r="D5" s="105"/>
      <c r="E5" s="105"/>
      <c r="F5" s="105"/>
      <c r="G5" s="105"/>
      <c r="H5" s="105"/>
      <c r="I5" s="39" t="str">
        <f>IF(D5 = "", "REQUIRED", "COMPLETE")</f>
        <v>REQUIRED</v>
      </c>
    </row>
    <row r="6" spans="2:14" ht="24" x14ac:dyDescent="0.3">
      <c r="B6" s="128" t="s">
        <v>29</v>
      </c>
      <c r="C6" s="128"/>
      <c r="D6" s="105"/>
      <c r="E6" s="105"/>
      <c r="F6" s="105"/>
      <c r="G6" s="105"/>
      <c r="H6" s="105"/>
      <c r="I6" s="40" t="str">
        <f>IF(D6 = "", "REQUIRED", "COMPLETE")</f>
        <v>REQUIRED</v>
      </c>
    </row>
    <row r="7" spans="2:14" ht="24" x14ac:dyDescent="0.3">
      <c r="B7" s="128" t="s">
        <v>15</v>
      </c>
      <c r="C7" s="128"/>
      <c r="D7" s="125" t="str">
        <f ca="1">IF(ISERROR(MID(CELL("filename",A1),FIND("-",CELL("filename",A1),FIND("]",CELL("filename",A1)))+1,4)), "TEST",MID(CELL("filename",A1),FIND("-",CELL("filename",A1),FIND("]",CELL("filename",A1)))+1,4))</f>
        <v>TEST</v>
      </c>
      <c r="E7" s="126"/>
      <c r="F7" s="126"/>
      <c r="G7" s="126"/>
      <c r="H7" s="127"/>
      <c r="I7" s="40" t="str">
        <f ca="1">IF(D7 = "", "REQUIRED", "COMPLETE")</f>
        <v>COMPLETE</v>
      </c>
    </row>
    <row r="8" spans="2:14" ht="24" x14ac:dyDescent="0.3">
      <c r="B8" s="128" t="s">
        <v>31</v>
      </c>
      <c r="C8" s="128"/>
      <c r="D8" s="1"/>
      <c r="E8" s="2"/>
      <c r="F8" s="3"/>
      <c r="G8" s="3"/>
      <c r="H8" s="3"/>
      <c r="I8" s="40" t="str">
        <f>IF(D8 = "", "REQUIRED", "COMPLETE")</f>
        <v>REQUIRED</v>
      </c>
    </row>
    <row r="9" spans="2:14" ht="24" x14ac:dyDescent="0.3">
      <c r="B9" s="129" t="s">
        <v>32</v>
      </c>
      <c r="C9" s="129"/>
      <c r="D9" s="148"/>
      <c r="E9" s="148"/>
      <c r="F9" s="148"/>
      <c r="G9" s="148"/>
      <c r="H9" s="148"/>
      <c r="I9" s="40" t="str">
        <f>IF(D9 = "", "OPTIONAL", "COMPLETE")</f>
        <v>OPTIONAL</v>
      </c>
    </row>
    <row r="10" spans="2:14" ht="24" x14ac:dyDescent="0.3">
      <c r="B10" s="128" t="s">
        <v>113</v>
      </c>
      <c r="C10" s="128"/>
      <c r="D10" s="105"/>
      <c r="E10" s="105"/>
      <c r="F10" s="105"/>
      <c r="G10" s="105"/>
      <c r="H10" s="105"/>
      <c r="I10" s="40" t="str">
        <f ca="1">IF(OR(D7=Reference!J3,D7=""),IF(D10 = "", "NOT REQUIRED", "COMPLETE"), IF(D10 = "", "REQUIRED", "COMPLETE"))</f>
        <v>NOT REQUIRED</v>
      </c>
      <c r="L10" s="77" t="s">
        <v>121</v>
      </c>
      <c r="M10"/>
      <c r="N10"/>
    </row>
    <row r="11" spans="2:14" ht="26" x14ac:dyDescent="0.3">
      <c r="B11" s="97" t="s">
        <v>64</v>
      </c>
      <c r="C11" s="98"/>
      <c r="D11" s="98"/>
      <c r="E11" s="98"/>
      <c r="F11" s="98"/>
      <c r="G11" s="98"/>
      <c r="H11" s="98"/>
      <c r="I11" s="99"/>
      <c r="L11" s="45" t="str">
        <f>IF($D$22="","",IF(VLOOKUP($D$22,Reference!$A$24:$F$26,2,FALSE)= 0, "", VLOOKUP($D$22,Reference!$A$24:$F$26,2,FALSE)))</f>
        <v/>
      </c>
    </row>
    <row r="12" spans="2:14" ht="21" x14ac:dyDescent="0.25">
      <c r="B12" s="116" t="s">
        <v>1</v>
      </c>
      <c r="C12" s="117"/>
      <c r="D12" s="117"/>
      <c r="E12" s="117"/>
      <c r="F12" s="117"/>
      <c r="G12" s="117"/>
      <c r="H12" s="117"/>
      <c r="I12" s="118"/>
      <c r="L12" s="45" t="str">
        <f>IF($D$22="","",IF(VLOOKUP($D$22,Reference!$A$24:$F$26,3,FALSE)= 0, "", VLOOKUP($D$22,Reference!$A$24:$F$26,3,FALSE)))</f>
        <v/>
      </c>
    </row>
    <row r="13" spans="2:14" ht="24" x14ac:dyDescent="0.3">
      <c r="B13" s="109" t="s">
        <v>37</v>
      </c>
      <c r="C13" s="109"/>
      <c r="D13" s="130"/>
      <c r="E13" s="130"/>
      <c r="F13" s="130"/>
      <c r="G13" s="130"/>
      <c r="H13" s="130"/>
      <c r="I13" s="40" t="str">
        <f>IF(D13 = "", "REQUIRED", "COMPLETE")</f>
        <v>REQUIRED</v>
      </c>
      <c r="L13" s="45" t="str">
        <f>IF($D$22="","",IF(VLOOKUP($D$22,Reference!$A$24:$F$26,4,FALSE)= 0, "", VLOOKUP($D$22,Reference!$A$24:$F$26,4,FALSE)))</f>
        <v/>
      </c>
    </row>
    <row r="14" spans="2:14" ht="24" x14ac:dyDescent="0.3">
      <c r="B14" s="110" t="s">
        <v>38</v>
      </c>
      <c r="C14" s="110"/>
      <c r="D14" s="105"/>
      <c r="E14" s="105"/>
      <c r="F14" s="105"/>
      <c r="G14" s="105"/>
      <c r="H14" s="105"/>
      <c r="I14" s="111" t="str">
        <f>IF(AND(D14 = "",D15 = ""), "REQUIRED","COMPLETE")</f>
        <v>REQUIRED</v>
      </c>
      <c r="L14" s="45" t="str">
        <f>IF($D$22="","",IF(VLOOKUP($D$22,Reference!$A$24:$F$26,5,FALSE)= 0, "", VLOOKUP($D$22,Reference!$A$24:$F$26,5,FALSE)))</f>
        <v/>
      </c>
    </row>
    <row r="15" spans="2:14" ht="24" x14ac:dyDescent="0.3">
      <c r="B15" s="108" t="s">
        <v>39</v>
      </c>
      <c r="C15" s="108"/>
      <c r="D15" s="107"/>
      <c r="E15" s="107"/>
      <c r="F15" s="107"/>
      <c r="G15" s="107"/>
      <c r="H15" s="107"/>
      <c r="I15" s="111"/>
      <c r="L15" s="45" t="str">
        <f>IF($D$22="","",IF(VLOOKUP($D$22,Reference!$A$24:$F$26,6,FALSE)= 0, "", VLOOKUP($D$22,Reference!$A$24:$F$26,6,FALSE)))</f>
        <v/>
      </c>
    </row>
    <row r="16" spans="2:14" ht="21" x14ac:dyDescent="0.25">
      <c r="B16" s="119" t="s">
        <v>2</v>
      </c>
      <c r="C16" s="120"/>
      <c r="D16" s="120"/>
      <c r="E16" s="120"/>
      <c r="F16" s="120"/>
      <c r="G16" s="120"/>
      <c r="H16" s="120"/>
      <c r="I16" s="121"/>
      <c r="L16" s="45"/>
    </row>
    <row r="17" spans="2:9" ht="24" x14ac:dyDescent="0.3">
      <c r="B17" s="109" t="s">
        <v>37</v>
      </c>
      <c r="C17" s="109"/>
      <c r="D17" s="130"/>
      <c r="E17" s="130"/>
      <c r="F17" s="130"/>
      <c r="G17" s="130"/>
      <c r="H17" s="130"/>
      <c r="I17" s="40" t="str">
        <f>IF(D17 = "", "OPTIONAL", "COMPLETE")</f>
        <v>OPTIONAL</v>
      </c>
    </row>
    <row r="18" spans="2:9" ht="24" x14ac:dyDescent="0.3">
      <c r="B18" s="110" t="s">
        <v>38</v>
      </c>
      <c r="C18" s="110"/>
      <c r="D18" s="105"/>
      <c r="E18" s="105"/>
      <c r="F18" s="105"/>
      <c r="G18" s="105"/>
      <c r="H18" s="105"/>
      <c r="I18" s="40" t="str">
        <f>IF(D18 = "", "OPTIONAL", "COMPLETE")</f>
        <v>OPTIONAL</v>
      </c>
    </row>
    <row r="19" spans="2:9" ht="24" x14ac:dyDescent="0.3">
      <c r="B19" s="108" t="s">
        <v>39</v>
      </c>
      <c r="C19" s="108"/>
      <c r="D19" s="107"/>
      <c r="E19" s="107"/>
      <c r="F19" s="107"/>
      <c r="G19" s="107"/>
      <c r="H19" s="107"/>
      <c r="I19" s="40" t="str">
        <f>IF(D19 = "", "OPTIONAL", "COMPLETE")</f>
        <v>OPTIONAL</v>
      </c>
    </row>
    <row r="20" spans="2:9" ht="26" x14ac:dyDescent="0.3">
      <c r="B20" s="97" t="s">
        <v>65</v>
      </c>
      <c r="C20" s="98"/>
      <c r="D20" s="98"/>
      <c r="E20" s="98"/>
      <c r="F20" s="98"/>
      <c r="G20" s="98"/>
      <c r="H20" s="98"/>
      <c r="I20" s="99"/>
    </row>
    <row r="21" spans="2:9" ht="24" x14ac:dyDescent="0.3">
      <c r="B21" s="109" t="s">
        <v>52</v>
      </c>
      <c r="C21" s="109"/>
      <c r="D21" s="130"/>
      <c r="E21" s="130"/>
      <c r="F21" s="130"/>
      <c r="G21" s="130"/>
      <c r="H21" s="130"/>
      <c r="I21" s="40" t="str">
        <f>IF(D21 = "", "REQUIRED", "COMPLETE")</f>
        <v>REQUIRED</v>
      </c>
    </row>
    <row r="22" spans="2:9" ht="27" customHeight="1" x14ac:dyDescent="0.3">
      <c r="B22" s="110" t="s">
        <v>90</v>
      </c>
      <c r="C22" s="110"/>
      <c r="D22" s="105"/>
      <c r="E22" s="105"/>
      <c r="F22" s="105"/>
      <c r="G22" s="105"/>
      <c r="H22" s="105"/>
      <c r="I22" s="40" t="str">
        <f>IF(D22 = "", "REQUIRED", "COMPLETE")</f>
        <v>REQUIRED</v>
      </c>
    </row>
    <row r="23" spans="2:9" ht="24" x14ac:dyDescent="0.3">
      <c r="B23" s="108" t="s">
        <v>46</v>
      </c>
      <c r="C23" s="108"/>
      <c r="D23" s="107"/>
      <c r="E23" s="107"/>
      <c r="F23" s="107"/>
      <c r="G23" s="107"/>
      <c r="H23" s="107"/>
      <c r="I23" s="40" t="str">
        <f>IF(D22 = Reference!F4, "NOT REQUIRED", IF(D23 = "", "REQUIRED", "COMPLETE"))</f>
        <v>REQUIRED</v>
      </c>
    </row>
    <row r="24" spans="2:9" ht="24" x14ac:dyDescent="0.3">
      <c r="B24" s="110" t="s">
        <v>85</v>
      </c>
      <c r="C24" s="110"/>
      <c r="D24" s="125"/>
      <c r="E24" s="126"/>
      <c r="F24" s="126"/>
      <c r="G24" s="126"/>
      <c r="H24" s="127"/>
      <c r="I24" s="40" t="str">
        <f>IF(D22 = Reference!F3, "NOT REQUIRED", IF(D22 = Reference!F4, IF(D24 = "","REQUIRED", "COMPLETE"), "NOT REQUIRED" ))</f>
        <v>NOT REQUIRED</v>
      </c>
    </row>
    <row r="25" spans="2:9" ht="24" hidden="1" x14ac:dyDescent="0.3">
      <c r="B25" s="110" t="s">
        <v>114</v>
      </c>
      <c r="C25" s="110"/>
      <c r="D25" s="125"/>
      <c r="E25" s="126"/>
      <c r="F25" s="126"/>
      <c r="G25" s="126"/>
      <c r="H25" s="127"/>
      <c r="I25" s="40" t="str">
        <f>IF(D25 = "", "NOT REQUIRED", "COMPLETE")</f>
        <v>NOT REQUIRED</v>
      </c>
    </row>
    <row r="26" spans="2:9" ht="24" x14ac:dyDescent="0.3">
      <c r="B26" s="103" t="s">
        <v>125</v>
      </c>
      <c r="C26" s="104"/>
      <c r="D26" s="61"/>
      <c r="E26" s="125"/>
      <c r="F26" s="126"/>
      <c r="G26" s="126"/>
      <c r="H26" s="127"/>
      <c r="I26" s="58" t="str">
        <f>IF(OR(E26 = "", D26 = ""), "REQUIRED", "COMPLETE")</f>
        <v>REQUIRED</v>
      </c>
    </row>
    <row r="27" spans="2:9" ht="24" x14ac:dyDescent="0.3">
      <c r="B27" s="103" t="s">
        <v>142</v>
      </c>
      <c r="C27" s="104"/>
      <c r="D27" s="125"/>
      <c r="E27" s="126"/>
      <c r="F27" s="126"/>
      <c r="G27" s="126"/>
      <c r="H27" s="127"/>
      <c r="I27" s="64" t="str">
        <f>IF(D27 = "", "NOT REQUIRED", "COMPLETE")</f>
        <v>NOT REQUIRED</v>
      </c>
    </row>
    <row r="28" spans="2:9" ht="24" x14ac:dyDescent="0.3">
      <c r="B28" s="59" t="s">
        <v>131</v>
      </c>
      <c r="C28" s="60"/>
      <c r="D28" s="119"/>
      <c r="E28" s="120"/>
      <c r="F28" s="120"/>
      <c r="G28" s="120"/>
      <c r="H28" s="121"/>
      <c r="I28" s="64" t="str">
        <f>IF(C28 = "", "REQUIRED", "COMPLETE")</f>
        <v>REQUIRED</v>
      </c>
    </row>
    <row r="29" spans="2:9" ht="24" x14ac:dyDescent="0.3">
      <c r="B29" s="63" t="s">
        <v>128</v>
      </c>
      <c r="C29" s="61" t="str">
        <f>IF($C$28="All","Yes", "")</f>
        <v/>
      </c>
      <c r="D29" s="103" t="s">
        <v>143</v>
      </c>
      <c r="E29" s="104"/>
      <c r="F29" s="125" t="str">
        <f>IF($C$28="All","Yes", IF(AND(C28 = "Restricted",C29="No"), "No",""))</f>
        <v/>
      </c>
      <c r="G29" s="126"/>
      <c r="H29" s="127"/>
      <c r="I29" s="115" t="str">
        <f>IF(OR(C29 = "",C30 = "",C31 = "",F29 = ""), "REQUIRED:                                        Please select Yes or No for all","COMPLETE")</f>
        <v>REQUIRED:                                        Please select Yes or No for all</v>
      </c>
    </row>
    <row r="30" spans="2:9" ht="24" x14ac:dyDescent="0.3">
      <c r="B30" s="59" t="s">
        <v>129</v>
      </c>
      <c r="C30" s="61" t="str">
        <f>IF($C$28="All","Yes", "")</f>
        <v/>
      </c>
      <c r="D30" s="65"/>
      <c r="E30" s="66"/>
      <c r="F30" s="66"/>
      <c r="G30" s="66"/>
      <c r="H30" s="67"/>
      <c r="I30" s="115"/>
    </row>
    <row r="31" spans="2:9" ht="24" x14ac:dyDescent="0.3">
      <c r="B31" s="62" t="s">
        <v>130</v>
      </c>
      <c r="C31" s="72" t="str">
        <f>IF($C$28="All","Yes", "")</f>
        <v/>
      </c>
      <c r="D31" s="73"/>
      <c r="E31" s="74"/>
      <c r="F31" s="74"/>
      <c r="G31" s="74"/>
      <c r="H31" s="75"/>
      <c r="I31" s="115"/>
    </row>
    <row r="32" spans="2:9" ht="21" customHeight="1" x14ac:dyDescent="0.2">
      <c r="B32" s="151" t="s">
        <v>136</v>
      </c>
      <c r="C32" s="151"/>
      <c r="D32" s="149" t="s">
        <v>145</v>
      </c>
      <c r="E32" s="149"/>
      <c r="F32" s="149"/>
      <c r="G32" s="149"/>
      <c r="H32" s="149"/>
      <c r="I32" s="150" t="str">
        <f>IF(OR(C28 = "All", C28 = ""), "NOT REQUIRED", IF(D32 = "", "REQUIRED", "COMPLETE"))</f>
        <v>NOT REQUIRED</v>
      </c>
    </row>
    <row r="33" spans="2:13" ht="24" customHeight="1" x14ac:dyDescent="0.2">
      <c r="B33" s="151"/>
      <c r="C33" s="151"/>
      <c r="D33" s="149"/>
      <c r="E33" s="149"/>
      <c r="F33" s="149"/>
      <c r="G33" s="149"/>
      <c r="H33" s="149"/>
      <c r="I33" s="150"/>
    </row>
    <row r="34" spans="2:13" ht="24" customHeight="1" x14ac:dyDescent="0.2">
      <c r="B34" s="151"/>
      <c r="C34" s="151"/>
      <c r="D34" s="149"/>
      <c r="E34" s="149"/>
      <c r="F34" s="149"/>
      <c r="G34" s="149"/>
      <c r="H34" s="149"/>
      <c r="I34" s="150"/>
    </row>
    <row r="35" spans="2:13" ht="21" x14ac:dyDescent="0.25">
      <c r="B35" s="119" t="s">
        <v>116</v>
      </c>
      <c r="C35" s="120"/>
      <c r="D35" s="120"/>
      <c r="E35" s="120"/>
      <c r="F35" s="120"/>
      <c r="G35" s="120"/>
      <c r="H35" s="120"/>
      <c r="I35" s="121"/>
    </row>
    <row r="36" spans="2:13" ht="24" customHeight="1" x14ac:dyDescent="0.3">
      <c r="B36" s="26" t="s">
        <v>40</v>
      </c>
      <c r="C36" s="30"/>
      <c r="D36" s="103" t="s">
        <v>39</v>
      </c>
      <c r="E36" s="104"/>
      <c r="F36" s="122"/>
      <c r="G36" s="123"/>
      <c r="H36" s="124"/>
      <c r="I36" s="115" t="str">
        <f>IF(OR(C36 = "",C37 = "",C38 = "",C39 = "",F36 = "",F37 = "",F38 = ""), "REQUIRED:                                        Please select Yes or No for all","COMPLETE")</f>
        <v>REQUIRED:                                        Please select Yes or No for all</v>
      </c>
    </row>
    <row r="37" spans="2:13" ht="24" x14ac:dyDescent="0.3">
      <c r="B37" s="27" t="s">
        <v>41</v>
      </c>
      <c r="C37" s="24"/>
      <c r="D37" s="103" t="s">
        <v>43</v>
      </c>
      <c r="E37" s="104"/>
      <c r="F37" s="125"/>
      <c r="G37" s="126"/>
      <c r="H37" s="127"/>
      <c r="I37" s="115"/>
    </row>
    <row r="38" spans="2:13" ht="24" x14ac:dyDescent="0.3">
      <c r="B38" s="27" t="s">
        <v>42</v>
      </c>
      <c r="C38" s="24"/>
      <c r="D38" s="103" t="s">
        <v>44</v>
      </c>
      <c r="E38" s="104"/>
      <c r="F38" s="125"/>
      <c r="G38" s="126"/>
      <c r="H38" s="127"/>
      <c r="I38" s="115"/>
      <c r="M38" s="41"/>
    </row>
    <row r="39" spans="2:13" ht="24" x14ac:dyDescent="0.3">
      <c r="B39" s="26" t="s">
        <v>45</v>
      </c>
      <c r="C39" s="25"/>
      <c r="D39" s="21"/>
      <c r="E39" s="22"/>
      <c r="F39" s="22"/>
      <c r="G39" s="22"/>
      <c r="H39" s="23"/>
      <c r="I39" s="115"/>
    </row>
    <row r="40" spans="2:13" ht="26" x14ac:dyDescent="0.3">
      <c r="B40" s="97" t="s">
        <v>66</v>
      </c>
      <c r="C40" s="98"/>
      <c r="D40" s="98"/>
      <c r="E40" s="98"/>
      <c r="F40" s="98"/>
      <c r="G40" s="98"/>
      <c r="H40" s="98"/>
      <c r="I40" s="99"/>
    </row>
    <row r="41" spans="2:13" ht="24" x14ac:dyDescent="0.3">
      <c r="B41" s="109" t="s">
        <v>47</v>
      </c>
      <c r="C41" s="109"/>
      <c r="D41" s="130"/>
      <c r="E41" s="130"/>
      <c r="F41" s="130"/>
      <c r="G41" s="130"/>
      <c r="H41" s="130"/>
      <c r="I41" s="40" t="str">
        <f>IF(D41 = "", "REQUIRED", "COMPLETE")</f>
        <v>REQUIRED</v>
      </c>
    </row>
    <row r="42" spans="2:13" ht="24" x14ac:dyDescent="0.3">
      <c r="B42" s="109" t="s">
        <v>80</v>
      </c>
      <c r="C42" s="109"/>
      <c r="D42" s="130"/>
      <c r="E42" s="130"/>
      <c r="F42" s="130"/>
      <c r="G42" s="130"/>
      <c r="H42" s="130"/>
      <c r="I42" s="40" t="str">
        <f>IF(D42 = "", "REQUIRED", IF(D22 =  Reference!F3, IF(D42 = Reference!W3,"COMPLETE", "ERROR"),IF(D22 = Reference!F4, IF(D42 = Reference!W3, "ERROR", IF(AND(D24 = Reference!U3, D42 = Reference!W5), "ERROR","COMPLETE")),"COMPLETE")))</f>
        <v>REQUIRED</v>
      </c>
    </row>
    <row r="43" spans="2:13" ht="24" x14ac:dyDescent="0.3">
      <c r="B43" s="110" t="s">
        <v>119</v>
      </c>
      <c r="C43" s="110"/>
      <c r="D43" s="105"/>
      <c r="E43" s="105"/>
      <c r="F43" s="105"/>
      <c r="G43" s="105"/>
      <c r="H43" s="105"/>
      <c r="I43" s="40" t="str">
        <f>IF(D43 = "", "REQUIRED", "COMPLETE")</f>
        <v>REQUIRED</v>
      </c>
    </row>
    <row r="44" spans="2:13" ht="24" x14ac:dyDescent="0.3">
      <c r="B44" s="110" t="s">
        <v>30</v>
      </c>
      <c r="C44" s="110"/>
      <c r="D44" s="105"/>
      <c r="E44" s="105"/>
      <c r="F44" s="105"/>
      <c r="G44" s="105"/>
      <c r="H44" s="105"/>
      <c r="I44" s="40" t="str">
        <f>IF(D24=Reference!U4, "NOT REQUIRED",IF(D44 = "", "REQUIRED", "COMPLETE"))</f>
        <v>REQUIRED</v>
      </c>
    </row>
    <row r="45" spans="2:13" ht="24" x14ac:dyDescent="0.3">
      <c r="B45" s="110" t="s">
        <v>84</v>
      </c>
      <c r="C45" s="110"/>
      <c r="D45" s="105"/>
      <c r="E45" s="105"/>
      <c r="F45" s="105"/>
      <c r="G45" s="105"/>
      <c r="H45" s="105"/>
      <c r="I45" s="40" t="str">
        <f>IF(D45 = "", "REQUIRED", IF( D24 = "", IF(D22 = Reference!F3, IF( D45 = Reference!Y3,"COMPLETE","ERROR"),"ERROR"),IF(OR(AND(D24 = Reference!U3,D45 = Reference!Y4),AND(D22 = Reference!F3,D45 = Reference!Y4)),"ERROR","COMPLETE")))</f>
        <v>REQUIRED</v>
      </c>
    </row>
    <row r="46" spans="2:13" ht="24" x14ac:dyDescent="0.3">
      <c r="B46" s="110" t="s">
        <v>54</v>
      </c>
      <c r="C46" s="110"/>
      <c r="D46" s="105"/>
      <c r="E46" s="105"/>
      <c r="F46" s="105"/>
      <c r="G46" s="105"/>
      <c r="H46" s="105"/>
      <c r="I46" s="40" t="str">
        <f xml:space="preserve"> IF(D46 = "", "REQUIRED", "COMPLETE")</f>
        <v>REQUIRED</v>
      </c>
    </row>
    <row r="47" spans="2:13" ht="24" x14ac:dyDescent="0.3">
      <c r="B47" s="108" t="s">
        <v>53</v>
      </c>
      <c r="C47" s="108"/>
      <c r="D47" s="107"/>
      <c r="E47" s="107"/>
      <c r="F47" s="107"/>
      <c r="G47" s="107"/>
      <c r="H47" s="107"/>
      <c r="I47" s="40" t="str">
        <f>IF(D47 = "", "REQUIRED", "COMPLETE")</f>
        <v>REQUIRED</v>
      </c>
    </row>
    <row r="48" spans="2:13" ht="26" x14ac:dyDescent="0.3">
      <c r="B48" s="97" t="s">
        <v>67</v>
      </c>
      <c r="C48" s="98"/>
      <c r="D48" s="98"/>
      <c r="E48" s="98"/>
      <c r="F48" s="98"/>
      <c r="G48" s="98"/>
      <c r="H48" s="98"/>
      <c r="I48" s="99"/>
    </row>
    <row r="49" spans="2:9" ht="24" x14ac:dyDescent="0.3">
      <c r="B49" s="109" t="s">
        <v>48</v>
      </c>
      <c r="C49" s="109"/>
      <c r="D49" s="130"/>
      <c r="E49" s="130"/>
      <c r="F49" s="130"/>
      <c r="G49" s="130"/>
      <c r="H49" s="130"/>
      <c r="I49" s="40" t="str">
        <f ca="1">IF( D7 = "PROD", IF(D49 = "", "OPTIONAL", "COMPLETE"), "NOT REQUIRED")</f>
        <v>NOT REQUIRED</v>
      </c>
    </row>
    <row r="50" spans="2:9" ht="24" x14ac:dyDescent="0.3">
      <c r="B50" s="110" t="s">
        <v>91</v>
      </c>
      <c r="C50" s="110"/>
      <c r="D50" s="105"/>
      <c r="E50" s="105"/>
      <c r="F50" s="105"/>
      <c r="G50" s="105"/>
      <c r="H50" s="105"/>
      <c r="I50" s="40" t="str">
        <f ca="1">IF( D7 = "PROD", IF(D50 = "", "OPTIONAL", "COMPLETE"), "NOT REQUIRED")</f>
        <v>NOT REQUIRED</v>
      </c>
    </row>
    <row r="51" spans="2:9" ht="24" x14ac:dyDescent="0.3">
      <c r="B51" s="110" t="s">
        <v>49</v>
      </c>
      <c r="C51" s="110"/>
      <c r="D51" s="106"/>
      <c r="E51" s="106"/>
      <c r="F51" s="106"/>
      <c r="G51" s="106"/>
      <c r="H51" s="106"/>
      <c r="I51" s="40" t="str">
        <f ca="1">IF( D7 = "PROD", IF(D51 = "", "OPTIONAL", "COMPLETE"), "NOT REQUIRED")</f>
        <v>NOT REQUIRED</v>
      </c>
    </row>
    <row r="52" spans="2:9" ht="24" x14ac:dyDescent="0.3">
      <c r="B52" s="108" t="s">
        <v>50</v>
      </c>
      <c r="C52" s="108"/>
      <c r="D52" s="107"/>
      <c r="E52" s="107"/>
      <c r="F52" s="107"/>
      <c r="G52" s="107"/>
      <c r="H52" s="107"/>
      <c r="I52" s="40" t="str">
        <f ca="1">IF( D7 = "PROD", IF(D52 = "", "OPTIONAL", "COMPLETE"), "NOT REQUIRED")</f>
        <v>NOT REQUIRED</v>
      </c>
    </row>
    <row r="53" spans="2:9" ht="26" x14ac:dyDescent="0.2">
      <c r="B53" s="100" t="s">
        <v>68</v>
      </c>
      <c r="C53" s="101"/>
      <c r="D53" s="101"/>
      <c r="E53" s="101"/>
      <c r="F53" s="101"/>
      <c r="G53" s="101"/>
      <c r="H53" s="101"/>
      <c r="I53" s="102"/>
    </row>
    <row r="54" spans="2:9" ht="24" x14ac:dyDescent="0.3">
      <c r="B54" s="131" t="s">
        <v>33</v>
      </c>
      <c r="C54" s="131"/>
      <c r="D54" s="130"/>
      <c r="E54" s="130"/>
      <c r="F54" s="130"/>
      <c r="G54" s="130"/>
      <c r="H54" s="130"/>
      <c r="I54" s="40" t="str">
        <f t="shared" ref="I54:I59" si="0">IF($D$9="YES",IF(D54 = "", "REQUIRED", "COMPLETE"), "NOT REQUIRED")</f>
        <v>NOT REQUIRED</v>
      </c>
    </row>
    <row r="55" spans="2:9" ht="24" customHeight="1" x14ac:dyDescent="0.3">
      <c r="B55" s="132" t="s">
        <v>93</v>
      </c>
      <c r="C55" s="132"/>
      <c r="D55" s="105"/>
      <c r="E55" s="105"/>
      <c r="F55" s="105"/>
      <c r="G55" s="105"/>
      <c r="H55" s="105"/>
      <c r="I55" s="40" t="str">
        <f t="shared" si="0"/>
        <v>NOT REQUIRED</v>
      </c>
    </row>
    <row r="56" spans="2:9" ht="24" customHeight="1" x14ac:dyDescent="0.3">
      <c r="B56" s="132" t="s">
        <v>73</v>
      </c>
      <c r="C56" s="132"/>
      <c r="D56" s="105"/>
      <c r="E56" s="105"/>
      <c r="F56" s="105"/>
      <c r="G56" s="105"/>
      <c r="H56" s="105"/>
      <c r="I56" s="40" t="str">
        <f t="shared" si="0"/>
        <v>NOT REQUIRED</v>
      </c>
    </row>
    <row r="57" spans="2:9" ht="24" customHeight="1" x14ac:dyDescent="0.3">
      <c r="B57" s="132" t="s">
        <v>34</v>
      </c>
      <c r="C57" s="132"/>
      <c r="D57" s="105"/>
      <c r="E57" s="105"/>
      <c r="F57" s="105"/>
      <c r="G57" s="105"/>
      <c r="H57" s="105"/>
      <c r="I57" s="40" t="str">
        <f t="shared" si="0"/>
        <v>NOT REQUIRED</v>
      </c>
    </row>
    <row r="58" spans="2:9" ht="24" customHeight="1" x14ac:dyDescent="0.3">
      <c r="B58" s="132" t="s">
        <v>35</v>
      </c>
      <c r="C58" s="132"/>
      <c r="D58" s="105"/>
      <c r="E58" s="105"/>
      <c r="F58" s="105"/>
      <c r="G58" s="105"/>
      <c r="H58" s="105"/>
      <c r="I58" s="40" t="str">
        <f t="shared" si="0"/>
        <v>NOT REQUIRED</v>
      </c>
    </row>
    <row r="59" spans="2:9" ht="24" customHeight="1" x14ac:dyDescent="0.3">
      <c r="B59" s="108" t="s">
        <v>36</v>
      </c>
      <c r="C59" s="108"/>
      <c r="D59" s="4"/>
      <c r="E59" s="5"/>
      <c r="F59" s="6"/>
      <c r="G59" s="6"/>
      <c r="H59" s="6"/>
      <c r="I59" s="40" t="str">
        <f t="shared" si="0"/>
        <v>NOT REQUIRED</v>
      </c>
    </row>
    <row r="60" spans="2:9" ht="24" customHeight="1" x14ac:dyDescent="0.3">
      <c r="B60" s="97" t="s">
        <v>51</v>
      </c>
      <c r="C60" s="98"/>
      <c r="D60" s="98"/>
      <c r="E60" s="98"/>
      <c r="F60" s="98"/>
      <c r="G60" s="98"/>
      <c r="H60" s="98"/>
      <c r="I60" s="99"/>
    </row>
    <row r="61" spans="2:9" x14ac:dyDescent="0.2">
      <c r="B61" s="142" t="s">
        <v>74</v>
      </c>
      <c r="C61" s="142"/>
      <c r="D61" s="133"/>
      <c r="E61" s="134"/>
      <c r="F61" s="134"/>
      <c r="G61" s="134"/>
      <c r="H61" s="134"/>
      <c r="I61" s="135"/>
    </row>
    <row r="62" spans="2:9" ht="15" customHeight="1" x14ac:dyDescent="0.2">
      <c r="B62" s="143"/>
      <c r="C62" s="143"/>
      <c r="D62" s="136"/>
      <c r="E62" s="137"/>
      <c r="F62" s="137"/>
      <c r="G62" s="137"/>
      <c r="H62" s="137"/>
      <c r="I62" s="138"/>
    </row>
    <row r="63" spans="2:9" ht="15" customHeight="1" x14ac:dyDescent="0.2">
      <c r="B63" s="143"/>
      <c r="C63" s="143"/>
      <c r="D63" s="136"/>
      <c r="E63" s="137"/>
      <c r="F63" s="137"/>
      <c r="G63" s="137"/>
      <c r="H63" s="137"/>
      <c r="I63" s="138"/>
    </row>
    <row r="64" spans="2:9" ht="15" customHeight="1" x14ac:dyDescent="0.2">
      <c r="B64" s="143"/>
      <c r="C64" s="143"/>
      <c r="D64" s="139"/>
      <c r="E64" s="140"/>
      <c r="F64" s="140"/>
      <c r="G64" s="140"/>
      <c r="H64" s="140"/>
      <c r="I64" s="141"/>
    </row>
    <row r="65" ht="15" customHeight="1" x14ac:dyDescent="0.2"/>
  </sheetData>
  <dataConsolidate/>
  <mergeCells count="99">
    <mergeCell ref="I29:I31"/>
    <mergeCell ref="D32:H34"/>
    <mergeCell ref="I32:I34"/>
    <mergeCell ref="B32:C34"/>
    <mergeCell ref="B27:C27"/>
    <mergeCell ref="D27:H27"/>
    <mergeCell ref="D28:H28"/>
    <mergeCell ref="D29:E29"/>
    <mergeCell ref="F29:H29"/>
    <mergeCell ref="B26:C26"/>
    <mergeCell ref="E26:H26"/>
    <mergeCell ref="B25:C25"/>
    <mergeCell ref="D25:H25"/>
    <mergeCell ref="B10:C10"/>
    <mergeCell ref="D10:H10"/>
    <mergeCell ref="B24:C24"/>
    <mergeCell ref="D24:H24"/>
    <mergeCell ref="B2:H2"/>
    <mergeCell ref="B3:H3"/>
    <mergeCell ref="B45:C45"/>
    <mergeCell ref="D45:H45"/>
    <mergeCell ref="D5:H5"/>
    <mergeCell ref="D6:H6"/>
    <mergeCell ref="D7:H7"/>
    <mergeCell ref="B5:C5"/>
    <mergeCell ref="D44:H44"/>
    <mergeCell ref="D9:H9"/>
    <mergeCell ref="D21:H21"/>
    <mergeCell ref="B22:C22"/>
    <mergeCell ref="B23:C23"/>
    <mergeCell ref="D41:H41"/>
    <mergeCell ref="B6:C6"/>
    <mergeCell ref="B19:C19"/>
    <mergeCell ref="B8:C8"/>
    <mergeCell ref="D17:H17"/>
    <mergeCell ref="D18:H18"/>
    <mergeCell ref="D19:H19"/>
    <mergeCell ref="B17:C17"/>
    <mergeCell ref="B18:C18"/>
    <mergeCell ref="B13:C13"/>
    <mergeCell ref="B14:C14"/>
    <mergeCell ref="B15:C15"/>
    <mergeCell ref="D13:H13"/>
    <mergeCell ref="D14:H14"/>
    <mergeCell ref="D61:I64"/>
    <mergeCell ref="B21:C21"/>
    <mergeCell ref="D22:H22"/>
    <mergeCell ref="B43:C43"/>
    <mergeCell ref="B46:C46"/>
    <mergeCell ref="B44:C44"/>
    <mergeCell ref="D49:H49"/>
    <mergeCell ref="B61:C64"/>
    <mergeCell ref="D52:H52"/>
    <mergeCell ref="D55:H55"/>
    <mergeCell ref="D56:H56"/>
    <mergeCell ref="B52:C52"/>
    <mergeCell ref="B59:C59"/>
    <mergeCell ref="D54:H54"/>
    <mergeCell ref="B42:C42"/>
    <mergeCell ref="D23:H23"/>
    <mergeCell ref="D42:H42"/>
    <mergeCell ref="D58:H58"/>
    <mergeCell ref="B54:C54"/>
    <mergeCell ref="B55:C55"/>
    <mergeCell ref="B56:C56"/>
    <mergeCell ref="B57:C57"/>
    <mergeCell ref="B58:C58"/>
    <mergeCell ref="I14:I15"/>
    <mergeCell ref="B4:H4"/>
    <mergeCell ref="D36:E36"/>
    <mergeCell ref="I36:I39"/>
    <mergeCell ref="B11:I11"/>
    <mergeCell ref="B12:I12"/>
    <mergeCell ref="B16:I16"/>
    <mergeCell ref="B20:I20"/>
    <mergeCell ref="D38:E38"/>
    <mergeCell ref="F36:H36"/>
    <mergeCell ref="F37:H37"/>
    <mergeCell ref="F38:H38"/>
    <mergeCell ref="B35:I35"/>
    <mergeCell ref="D15:H15"/>
    <mergeCell ref="B7:C7"/>
    <mergeCell ref="B9:C9"/>
    <mergeCell ref="B40:I40"/>
    <mergeCell ref="B48:I48"/>
    <mergeCell ref="B53:I53"/>
    <mergeCell ref="B60:I60"/>
    <mergeCell ref="D37:E37"/>
    <mergeCell ref="D50:H50"/>
    <mergeCell ref="D51:H51"/>
    <mergeCell ref="D43:H43"/>
    <mergeCell ref="D46:H46"/>
    <mergeCell ref="D47:H47"/>
    <mergeCell ref="B47:C47"/>
    <mergeCell ref="B49:C49"/>
    <mergeCell ref="B50:C50"/>
    <mergeCell ref="B51:C51"/>
    <mergeCell ref="B41:C41"/>
    <mergeCell ref="D57:H57"/>
  </mergeCells>
  <conditionalFormatting sqref="I5">
    <cfRule type="cellIs" dxfId="214" priority="162" operator="equal">
      <formula>"REQUIRED"</formula>
    </cfRule>
  </conditionalFormatting>
  <conditionalFormatting sqref="I41 I5:I9 I21:I23 I13:I15 I49:I52 I54:I59 I17:I19 I46:I47 I43:I44">
    <cfRule type="cellIs" dxfId="213" priority="156" operator="equal">
      <formula>"NOT REQUIRED"</formula>
    </cfRule>
    <cfRule type="containsText" dxfId="212" priority="158" operator="containsText" text="Warning">
      <formula>NOT(ISERROR(SEARCH("Warning",I5)))</formula>
    </cfRule>
    <cfRule type="cellIs" dxfId="211" priority="159" operator="equal">
      <formula>"Warning*"</formula>
    </cfRule>
    <cfRule type="cellIs" dxfId="210" priority="160" operator="equal">
      <formula>"COMPLETE"</formula>
    </cfRule>
    <cfRule type="cellIs" dxfId="209" priority="161" operator="equal">
      <formula>"REQUIRED"</formula>
    </cfRule>
  </conditionalFormatting>
  <conditionalFormatting sqref="I1:I2 I13:I15 I21:I23 I36:I39 I41 I49:I52 I54:I59 I65:I1048576 I17:I19 I46:I47 I43:I44 I5:I9">
    <cfRule type="containsText" dxfId="208" priority="155" operator="containsText" text="OPTIONAL">
      <formula>NOT(ISERROR(SEARCH("OPTIONAL",I1)))</formula>
    </cfRule>
    <cfRule type="containsText" dxfId="207" priority="157" operator="containsText" text="REQUIRED">
      <formula>NOT(ISERROR(SEARCH("REQUIRED",I1)))</formula>
    </cfRule>
  </conditionalFormatting>
  <conditionalFormatting sqref="I36:I39">
    <cfRule type="cellIs" dxfId="206" priority="154" operator="equal">
      <formula>"COMPLETE"</formula>
    </cfRule>
  </conditionalFormatting>
  <conditionalFormatting sqref="I24">
    <cfRule type="cellIs" dxfId="205" priority="113" operator="equal">
      <formula>"NOT REQUIRED"</formula>
    </cfRule>
    <cfRule type="containsText" dxfId="204" priority="115" operator="containsText" text="Warning">
      <formula>NOT(ISERROR(SEARCH("Warning",I24)))</formula>
    </cfRule>
    <cfRule type="cellIs" dxfId="203" priority="116" operator="equal">
      <formula>"Warning*"</formula>
    </cfRule>
    <cfRule type="cellIs" dxfId="202" priority="117" operator="equal">
      <formula>"COMPLETE"</formula>
    </cfRule>
    <cfRule type="cellIs" dxfId="201" priority="118" operator="equal">
      <formula>"REQUIRED"</formula>
    </cfRule>
  </conditionalFormatting>
  <conditionalFormatting sqref="I24">
    <cfRule type="containsText" dxfId="200" priority="112" operator="containsText" text="OPTIONAL">
      <formula>NOT(ISERROR(SEARCH("OPTIONAL",I24)))</formula>
    </cfRule>
    <cfRule type="containsText" dxfId="199" priority="114" operator="containsText" text="REQUIRED">
      <formula>NOT(ISERROR(SEARCH("REQUIRED",I24)))</formula>
    </cfRule>
  </conditionalFormatting>
  <conditionalFormatting sqref="I42">
    <cfRule type="cellIs" dxfId="198" priority="106" operator="equal">
      <formula>"NOT REQUIRED"</formula>
    </cfRule>
    <cfRule type="containsText" dxfId="197" priority="108" operator="containsText" text="Warning">
      <formula>NOT(ISERROR(SEARCH("Warning",I42)))</formula>
    </cfRule>
    <cfRule type="cellIs" dxfId="196" priority="109" operator="equal">
      <formula>"Warning*"</formula>
    </cfRule>
    <cfRule type="cellIs" dxfId="195" priority="110" operator="equal">
      <formula>"COMPLETE"</formula>
    </cfRule>
    <cfRule type="cellIs" dxfId="194" priority="111" operator="equal">
      <formula>"REQUIRED"</formula>
    </cfRule>
  </conditionalFormatting>
  <conditionalFormatting sqref="I42">
    <cfRule type="containsText" dxfId="193" priority="105" operator="containsText" text="OPTIONAL">
      <formula>NOT(ISERROR(SEARCH("OPTIONAL",I42)))</formula>
    </cfRule>
    <cfRule type="containsText" dxfId="192" priority="107" operator="containsText" text="REQUIRED">
      <formula>NOT(ISERROR(SEARCH("REQUIRED",I42)))</formula>
    </cfRule>
  </conditionalFormatting>
  <conditionalFormatting sqref="I45">
    <cfRule type="cellIs" dxfId="191" priority="99" operator="equal">
      <formula>"NOT REQUIRED"</formula>
    </cfRule>
    <cfRule type="cellIs" dxfId="190" priority="102" operator="equal">
      <formula>"Warning*"</formula>
    </cfRule>
    <cfRule type="cellIs" dxfId="189" priority="103" operator="equal">
      <formula>"COMPLETE"</formula>
    </cfRule>
    <cfRule type="cellIs" dxfId="188" priority="104" operator="equal">
      <formula>"REQUIRED"</formula>
    </cfRule>
  </conditionalFormatting>
  <conditionalFormatting sqref="I45">
    <cfRule type="containsText" dxfId="187" priority="98" operator="containsText" text="OPTIONAL">
      <formula>NOT(ISERROR(SEARCH("OPTIONAL",I45)))</formula>
    </cfRule>
    <cfRule type="containsText" dxfId="186" priority="100" operator="containsText" text="REQUIRED">
      <formula>NOT(ISERROR(SEARCH("REQUIRED",I45)))</formula>
    </cfRule>
  </conditionalFormatting>
  <conditionalFormatting sqref="I2">
    <cfRule type="containsText" dxfId="185" priority="96" operator="containsText" text="OPTIONAL">
      <formula>NOT(ISERROR(SEARCH("OPTIONAL",I2)))</formula>
    </cfRule>
    <cfRule type="containsText" dxfId="184" priority="97" operator="containsText" text="REQUIRED">
      <formula>NOT(ISERROR(SEARCH("REQUIRED",I2)))</formula>
    </cfRule>
  </conditionalFormatting>
  <conditionalFormatting sqref="I3">
    <cfRule type="cellIs" dxfId="183" priority="88" operator="equal">
      <formula>"COMPLETE"</formula>
    </cfRule>
    <cfRule type="containsText" dxfId="182" priority="89" operator="containsText" text="INCOMPLETE">
      <formula>NOT(ISERROR(SEARCH("INCOMPLETE",I3)))</formula>
    </cfRule>
    <cfRule type="containsText" dxfId="181" priority="94" operator="containsText" text="OPTIONAL">
      <formula>NOT(ISERROR(SEARCH("OPTIONAL",I3)))</formula>
    </cfRule>
    <cfRule type="containsText" dxfId="180" priority="95" operator="containsText" text="REQUIRED">
      <formula>NOT(ISERROR(SEARCH("REQUIRED",I3)))</formula>
    </cfRule>
  </conditionalFormatting>
  <conditionalFormatting sqref="I4">
    <cfRule type="containsText" dxfId="179" priority="92" operator="containsText" text="OPTIONAL">
      <formula>NOT(ISERROR(SEARCH("OPTIONAL",I4)))</formula>
    </cfRule>
    <cfRule type="containsText" dxfId="178" priority="93" operator="containsText" text="REQUIRED">
      <formula>NOT(ISERROR(SEARCH("REQUIRED",I4)))</formula>
    </cfRule>
  </conditionalFormatting>
  <conditionalFormatting sqref="I4">
    <cfRule type="containsText" dxfId="177" priority="90" operator="containsText" text="OPTIONAL">
      <formula>NOT(ISERROR(SEARCH("OPTIONAL",I4)))</formula>
    </cfRule>
    <cfRule type="containsText" dxfId="176" priority="91" operator="containsText" text="REQUIRED">
      <formula>NOT(ISERROR(SEARCH("REQUIRED",I4)))</formula>
    </cfRule>
  </conditionalFormatting>
  <conditionalFormatting sqref="D5:I6 D35:I59 D11:I24 D8:I9 I7">
    <cfRule type="containsText" dxfId="175" priority="101" operator="containsText" text="ERROR">
      <formula>NOT(ISERROR(SEARCH("ERROR",D5)))</formula>
    </cfRule>
  </conditionalFormatting>
  <conditionalFormatting sqref="D5:H6 D35:H59 D11:H24 D8:H9">
    <cfRule type="expression" dxfId="174" priority="86">
      <formula>$I5="ERROR"</formula>
    </cfRule>
    <cfRule type="expression" dxfId="173" priority="87">
      <formula>$I5="NOT REQUIRED"</formula>
    </cfRule>
  </conditionalFormatting>
  <conditionalFormatting sqref="I25">
    <cfRule type="containsText" dxfId="172" priority="65" operator="containsText" text="ERROR">
      <formula>NOT(ISERROR(SEARCH("ERROR",I25)))</formula>
    </cfRule>
  </conditionalFormatting>
  <conditionalFormatting sqref="D25:H25">
    <cfRule type="containsText" dxfId="171" priority="75" operator="containsText" text="ERROR">
      <formula>NOT(ISERROR(SEARCH("ERROR",D25)))</formula>
    </cfRule>
  </conditionalFormatting>
  <conditionalFormatting sqref="D25:H25">
    <cfRule type="expression" dxfId="170" priority="73">
      <formula>$I25="ERROR"</formula>
    </cfRule>
    <cfRule type="expression" dxfId="169" priority="74">
      <formula>$I25="NOT REQUIRED"</formula>
    </cfRule>
  </conditionalFormatting>
  <conditionalFormatting sqref="I25">
    <cfRule type="cellIs" dxfId="168" priority="67" operator="equal">
      <formula>"NOT REQUIRED"</formula>
    </cfRule>
    <cfRule type="containsText" dxfId="167" priority="69" operator="containsText" text="Warning">
      <formula>NOT(ISERROR(SEARCH("Warning",I25)))</formula>
    </cfRule>
    <cfRule type="cellIs" dxfId="166" priority="70" operator="equal">
      <formula>"Warning*"</formula>
    </cfRule>
    <cfRule type="cellIs" dxfId="165" priority="71" operator="equal">
      <formula>"COMPLETE"</formula>
    </cfRule>
    <cfRule type="cellIs" dxfId="164" priority="72" operator="equal">
      <formula>"REQUIRED"</formula>
    </cfRule>
  </conditionalFormatting>
  <conditionalFormatting sqref="I25">
    <cfRule type="containsText" dxfId="163" priority="66" operator="containsText" text="OPTIONAL">
      <formula>NOT(ISERROR(SEARCH("OPTIONAL",I25)))</formula>
    </cfRule>
    <cfRule type="containsText" dxfId="162" priority="68" operator="containsText" text="REQUIRED">
      <formula>NOT(ISERROR(SEARCH("REQUIRED",I25)))</formula>
    </cfRule>
  </conditionalFormatting>
  <conditionalFormatting sqref="I10">
    <cfRule type="cellIs" dxfId="161" priority="59" operator="equal">
      <formula>"NOT REQUIRED"</formula>
    </cfRule>
    <cfRule type="containsText" dxfId="160" priority="61" operator="containsText" text="Warning">
      <formula>NOT(ISERROR(SEARCH("Warning",I10)))</formula>
    </cfRule>
    <cfRule type="cellIs" dxfId="159" priority="62" operator="equal">
      <formula>"Warning*"</formula>
    </cfRule>
    <cfRule type="cellIs" dxfId="158" priority="63" operator="equal">
      <formula>"COMPLETE"</formula>
    </cfRule>
    <cfRule type="cellIs" dxfId="157" priority="64" operator="equal">
      <formula>"REQUIRED"</formula>
    </cfRule>
  </conditionalFormatting>
  <conditionalFormatting sqref="I10">
    <cfRule type="containsText" dxfId="156" priority="58" operator="containsText" text="OPTIONAL">
      <formula>NOT(ISERROR(SEARCH("OPTIONAL",I10)))</formula>
    </cfRule>
    <cfRule type="containsText" dxfId="155" priority="60" operator="containsText" text="REQUIRED">
      <formula>NOT(ISERROR(SEARCH("REQUIRED",I10)))</formula>
    </cfRule>
  </conditionalFormatting>
  <conditionalFormatting sqref="D10:I10">
    <cfRule type="containsText" dxfId="154" priority="57" operator="containsText" text="ERROR">
      <formula>NOT(ISERROR(SEARCH("ERROR",D10)))</formula>
    </cfRule>
  </conditionalFormatting>
  <conditionalFormatting sqref="D10:H10">
    <cfRule type="expression" dxfId="153" priority="55">
      <formula>$I10="ERROR"</formula>
    </cfRule>
    <cfRule type="expression" dxfId="152" priority="56">
      <formula>$I10="NOT REQUIRED"</formula>
    </cfRule>
  </conditionalFormatting>
  <conditionalFormatting sqref="D7">
    <cfRule type="containsText" dxfId="151" priority="54" operator="containsText" text="ERROR">
      <formula>NOT(ISERROR(SEARCH("ERROR",D7)))</formula>
    </cfRule>
  </conditionalFormatting>
  <conditionalFormatting sqref="D7">
    <cfRule type="expression" dxfId="150" priority="52">
      <formula>$I7="ERROR"</formula>
    </cfRule>
    <cfRule type="expression" dxfId="149" priority="53">
      <formula>$I7="NOT REQUIRED"</formula>
    </cfRule>
  </conditionalFormatting>
  <conditionalFormatting sqref="D28:D30 F29:H29">
    <cfRule type="expression" dxfId="148" priority="42">
      <formula>$I28="ERROR"</formula>
    </cfRule>
    <cfRule type="expression" dxfId="147" priority="43">
      <formula>$I28="NOT REQUIRED"</formula>
    </cfRule>
  </conditionalFormatting>
  <conditionalFormatting sqref="I26">
    <cfRule type="cellIs" dxfId="146" priority="36" operator="equal">
      <formula>"NOT REQUIRED"</formula>
    </cfRule>
    <cfRule type="containsText" dxfId="145" priority="38" operator="containsText" text="Warning">
      <formula>NOT(ISERROR(SEARCH("Warning",I26)))</formula>
    </cfRule>
    <cfRule type="cellIs" dxfId="144" priority="39" operator="equal">
      <formula>"Warning*"</formula>
    </cfRule>
    <cfRule type="cellIs" dxfId="143" priority="40" operator="equal">
      <formula>"COMPLETE"</formula>
    </cfRule>
    <cfRule type="cellIs" dxfId="142" priority="41" operator="equal">
      <formula>"REQUIRED"</formula>
    </cfRule>
  </conditionalFormatting>
  <conditionalFormatting sqref="I26">
    <cfRule type="containsText" dxfId="141" priority="35" operator="containsText" text="OPTIONAL">
      <formula>NOT(ISERROR(SEARCH("OPTIONAL",I26)))</formula>
    </cfRule>
    <cfRule type="containsText" dxfId="140" priority="37" operator="containsText" text="REQUIRED">
      <formula>NOT(ISERROR(SEARCH("REQUIRED",I26)))</formula>
    </cfRule>
  </conditionalFormatting>
  <conditionalFormatting sqref="D26">
    <cfRule type="containsText" dxfId="139" priority="34" operator="containsText" text="ENABLE">
      <formula>NOT(ISERROR(SEARCH("ENABLE",D26)))</formula>
    </cfRule>
  </conditionalFormatting>
  <conditionalFormatting sqref="I27">
    <cfRule type="cellIs" dxfId="138" priority="28" operator="equal">
      <formula>"NOT REQUIRED"</formula>
    </cfRule>
    <cfRule type="containsText" dxfId="137" priority="30" operator="containsText" text="Warning">
      <formula>NOT(ISERROR(SEARCH("Warning",I27)))</formula>
    </cfRule>
    <cfRule type="cellIs" dxfId="136" priority="31" operator="equal">
      <formula>"Warning*"</formula>
    </cfRule>
    <cfRule type="cellIs" dxfId="135" priority="32" operator="equal">
      <formula>"COMPLETE"</formula>
    </cfRule>
    <cfRule type="cellIs" dxfId="134" priority="33" operator="equal">
      <formula>"REQUIRED"</formula>
    </cfRule>
  </conditionalFormatting>
  <conditionalFormatting sqref="I27">
    <cfRule type="containsText" dxfId="133" priority="27" operator="containsText" text="OPTIONAL">
      <formula>NOT(ISERROR(SEARCH("OPTIONAL",I27)))</formula>
    </cfRule>
    <cfRule type="containsText" dxfId="132" priority="29" operator="containsText" text="REQUIRED">
      <formula>NOT(ISERROR(SEARCH("REQUIRED",I27)))</formula>
    </cfRule>
  </conditionalFormatting>
  <conditionalFormatting sqref="D27:I27">
    <cfRule type="containsText" dxfId="131" priority="26" operator="containsText" text="ERROR">
      <formula>NOT(ISERROR(SEARCH("ERROR",D27)))</formula>
    </cfRule>
  </conditionalFormatting>
  <conditionalFormatting sqref="D27:H27">
    <cfRule type="expression" dxfId="130" priority="24">
      <formula>$I27="ERROR"</formula>
    </cfRule>
    <cfRule type="expression" dxfId="129" priority="25">
      <formula>$I27="NOT REQUIRED"</formula>
    </cfRule>
  </conditionalFormatting>
  <conditionalFormatting sqref="I30:I31 D28:D30 F29:I29">
    <cfRule type="containsText" dxfId="128" priority="20" operator="containsText" text="ERROR">
      <formula>NOT(ISERROR(SEARCH("ERROR",D28)))</formula>
    </cfRule>
  </conditionalFormatting>
  <conditionalFormatting sqref="I29:I31">
    <cfRule type="containsText" dxfId="127" priority="22" operator="containsText" text="OPTIONAL">
      <formula>NOT(ISERROR(SEARCH("OPTIONAL",I29)))</formula>
    </cfRule>
    <cfRule type="containsText" dxfId="126" priority="23" operator="containsText" text="REQUIRED">
      <formula>NOT(ISERROR(SEARCH("REQUIRED",I29)))</formula>
    </cfRule>
  </conditionalFormatting>
  <conditionalFormatting sqref="I29:I31">
    <cfRule type="cellIs" dxfId="125" priority="21" operator="equal">
      <formula>"COMPLETE"</formula>
    </cfRule>
  </conditionalFormatting>
  <conditionalFormatting sqref="I28">
    <cfRule type="cellIs" dxfId="124" priority="14" operator="equal">
      <formula>"NOT REQUIRED"</formula>
    </cfRule>
    <cfRule type="containsText" dxfId="123" priority="16" operator="containsText" text="Warning">
      <formula>NOT(ISERROR(SEARCH("Warning",I28)))</formula>
    </cfRule>
    <cfRule type="cellIs" dxfId="122" priority="17" operator="equal">
      <formula>"Warning*"</formula>
    </cfRule>
    <cfRule type="cellIs" dxfId="121" priority="18" operator="equal">
      <formula>"COMPLETE"</formula>
    </cfRule>
    <cfRule type="cellIs" dxfId="120" priority="19" operator="equal">
      <formula>"REQUIRED"</formula>
    </cfRule>
  </conditionalFormatting>
  <conditionalFormatting sqref="I28">
    <cfRule type="containsText" dxfId="119" priority="13" operator="containsText" text="OPTIONAL">
      <formula>NOT(ISERROR(SEARCH("OPTIONAL",I28)))</formula>
    </cfRule>
    <cfRule type="containsText" dxfId="118" priority="15" operator="containsText" text="REQUIRED">
      <formula>NOT(ISERROR(SEARCH("REQUIRED",I28)))</formula>
    </cfRule>
  </conditionalFormatting>
  <conditionalFormatting sqref="I28">
    <cfRule type="containsText" dxfId="117" priority="12" operator="containsText" text="ERROR">
      <formula>NOT(ISERROR(SEARCH("ERROR",I28)))</formula>
    </cfRule>
  </conditionalFormatting>
  <conditionalFormatting sqref="D32">
    <cfRule type="containsText" dxfId="116" priority="11" operator="containsText" text="ERROR">
      <formula>NOT(ISERROR(SEARCH("ERROR",D32)))</formula>
    </cfRule>
  </conditionalFormatting>
  <conditionalFormatting sqref="D32">
    <cfRule type="expression" dxfId="115" priority="9">
      <formula>$I32="ERROR"</formula>
    </cfRule>
    <cfRule type="expression" dxfId="114" priority="10">
      <formula>$I32="NOT REQUIRED"</formula>
    </cfRule>
  </conditionalFormatting>
  <conditionalFormatting sqref="I32">
    <cfRule type="cellIs" dxfId="113" priority="3" operator="equal">
      <formula>"NOT REQUIRED"</formula>
    </cfRule>
    <cfRule type="containsText" dxfId="112" priority="5" operator="containsText" text="Warning">
      <formula>NOT(ISERROR(SEARCH("Warning",I32)))</formula>
    </cfRule>
    <cfRule type="cellIs" dxfId="111" priority="6" operator="equal">
      <formula>"Warning*"</formula>
    </cfRule>
    <cfRule type="cellIs" dxfId="110" priority="7" operator="equal">
      <formula>"COMPLETE"</formula>
    </cfRule>
    <cfRule type="cellIs" dxfId="109" priority="8" operator="equal">
      <formula>"REQUIRED"</formula>
    </cfRule>
  </conditionalFormatting>
  <conditionalFormatting sqref="I32">
    <cfRule type="containsText" dxfId="108" priority="2" operator="containsText" text="OPTIONAL">
      <formula>NOT(ISERROR(SEARCH("OPTIONAL",I32)))</formula>
    </cfRule>
    <cfRule type="containsText" dxfId="107" priority="4" operator="containsText" text="REQUIRED">
      <formula>NOT(ISERROR(SEARCH("REQUIRED",I32)))</formula>
    </cfRule>
  </conditionalFormatting>
  <conditionalFormatting sqref="I32">
    <cfRule type="containsText" dxfId="106" priority="1" operator="containsText" text="ERROR">
      <formula>NOT(ISERROR(SEARCH("ERROR",I32)))</formula>
    </cfRule>
  </conditionalFormatting>
  <dataValidations count="7">
    <dataValidation allowBlank="1" showInputMessage="1" showErrorMessage="1" promptTitle="Application URL" prompt="Please provide the URL for the RP Application." sqref="D23:H23" xr:uid="{893F29A9-96C7-1347-9C48-63DA1F66DF97}"/>
    <dataValidation allowBlank="1" showInputMessage="1" showErrorMessage="1" prompt="If an ERROR message appears, it is because you have selected:_x000a_1) Un-Signed and have Confidential selected as the Application Type. Metadata must be signed if the application type is Confidential._x000a_ 2) Selected SAML. SAML Metadata must be Signed." sqref="I45" xr:uid="{D8FB7446-14CE-1640-9CB5-50415402B16D}"/>
    <dataValidation allowBlank="1" showInputMessage="1" showErrorMessage="1" prompt="If an ERROR appears it is likely because:_x000a_SAML metadata must be .XML_x000a_OIDC and Confidential must be .TXT_x000a_OIDC and Public must be .TXT or .JSON_x000a_" sqref="I42" xr:uid="{FC20A08A-A3A7-6C43-916C-0532D4B51A79}"/>
    <dataValidation allowBlank="1" showInputMessage="1" showErrorMessage="1" prompt="If an ERROR appears it is likely because SAML applications must have the Application Type set to Confidential._x000a_" sqref="I24" xr:uid="{620688A7-B585-1448-9F35-8FE1B701FC2A}"/>
    <dataValidation allowBlank="1" showInputMessage="1" showErrorMessage="1" promptTitle="Affiliation" prompt=" If you would like to share a NameID across multiple applications, please provide the entityID for the application you wish to be affiliated with. " sqref="D27:H27" xr:uid="{44BC73C9-C29B-1142-B3B7-EFF209DD6586}"/>
    <dataValidation allowBlank="1" showInputMessage="1" showErrorMessage="1" promptTitle="Access Denied Error Message" prompt="This message is displayed if the Enabled Authentication Sources is set to &quot;Restricted&quot; and the user is trying to access the service with a non-enabled authentication source. _x000a_" sqref="D32:H34" xr:uid="{0485715A-F327-B045-8F64-A6D539D8AB4B}"/>
    <dataValidation type="list" allowBlank="1" showInputMessage="1" showErrorMessage="1" promptTitle="IDP Metadata Version" prompt="Please ensure the Protocol Type has been selected before selecting the version." sqref="E26:H26" xr:uid="{8F68AEBB-D4FB-FD4C-B9EA-7FE211C483EE}">
      <formula1>$L$11:$L$16</formula1>
    </dataValidation>
  </dataValidations>
  <hyperlinks>
    <hyperlink ref="B58" r:id="rId1" display="mailto:Perry.Hamilton@novascotia.ca" xr:uid="{755F0997-B41C-024B-9CCE-9C4081B94BA2}"/>
    <hyperlink ref="B56" r:id="rId2" display="tel:(902) 667-6285" xr:uid="{1FC8BBFD-94B4-334D-A772-F6FA9251CD30}"/>
  </hyperlinks>
  <pageMargins left="0.7" right="0.7" top="0.75" bottom="0.75" header="0.3" footer="0.3"/>
  <pageSetup scale="51" orientation="portrait" horizontalDpi="0" verticalDpi="0"/>
  <colBreaks count="1" manualBreakCount="1">
    <brk id="10" max="56" man="1"/>
  </colBreaks>
  <extLst>
    <ext xmlns:x14="http://schemas.microsoft.com/office/spreadsheetml/2009/9/main" uri="{CCE6A557-97BC-4b89-ADB6-D9C93CAAB3DF}">
      <x14:dataValidations xmlns:xm="http://schemas.microsoft.com/office/excel/2006/main" count="33">
        <x14:dataValidation type="list" allowBlank="1" showInputMessage="1" promptTitle="Previous Deployments" prompt="Please list the environments you have successfully deployed in. To deploy in Production you are required to have succesffuly deployed in the Test environment. " xr:uid="{496F9F03-0A88-DD4E-8A92-029765029FC7}">
          <x14:formula1>
            <xm:f>Reference!$D$13:$D$16</xm:f>
          </x14:formula1>
          <xm:sqref>D10:H10</xm:sqref>
        </x14:dataValidation>
        <x14:dataValidation type="list" allowBlank="1" showInputMessage="1" showErrorMessage="1" promptTitle="Hour" prompt="Select the hour" xr:uid="{AD0B5107-A862-7D49-8F35-5DC44B4F84BB}">
          <x14:formula1>
            <xm:f>Reference!$N$4:$N$15</xm:f>
          </x14:formula1>
          <xm:sqref>E8</xm:sqref>
        </x14:dataValidation>
        <x14:dataValidation type="list" allowBlank="1" showInputMessage="1" showErrorMessage="1" promptTitle="Minute" prompt="Select the minute" xr:uid="{6C7D3DF4-80E1-A04C-AD73-491BFCBD19D5}">
          <x14:formula1>
            <xm:f>Reference!$O$4:$O$7</xm:f>
          </x14:formula1>
          <xm:sqref>F8</xm:sqref>
        </x14:dataValidation>
        <x14:dataValidation type="list" allowBlank="1" showInputMessage="1" showErrorMessage="1" promptTitle="AM/PM" prompt="Select AM or PM" xr:uid="{E2BE9086-DA01-4144-BD3F-7E4DBEC58222}">
          <x14:formula1>
            <xm:f>Reference!$P$4:$P$5</xm:f>
          </x14:formula1>
          <xm:sqref>G8</xm:sqref>
        </x14:dataValidation>
        <x14:dataValidation type="list" errorStyle="information" allowBlank="1" showInputMessage="1" promptTitle="Connectivity Call Required" prompt="For Metadata Refreshes in the PROD Environment, it is recommended that a conference call be set up to provide immediate validation." xr:uid="{9D914991-A287-F546-9695-3E8055B863CD}">
          <x14:formula1>
            <xm:f>Reference!$S$3:$S$4</xm:f>
          </x14:formula1>
          <xm:sqref>D9:H9</xm:sqref>
        </x14:dataValidation>
        <x14:dataValidation type="list" allowBlank="1" showInputMessage="1" showErrorMessage="1" promptTitle="Please Select the Environment" prompt="TEST is for all test applications (UAT, QA, DEV)._x000a_PROD is the production environment." xr:uid="{D775B90D-8CFB-A148-BA83-C587866DB911}">
          <x14:formula1>
            <xm:f>Reference!$J$3:$J$4</xm:f>
          </x14:formula1>
          <xm:sqref>D7</xm:sqref>
        </x14:dataValidation>
        <x14:dataValidation type="list" allowBlank="1" showInputMessage="1" showErrorMessage="1" promptTitle="Authentication Source" prompt="Select Yes for the Authentication Source to be passed to the RP after a successful authentication._x000a__x000a_The Authentication Source identifies how the user logged in - whether he/she authenticated using an NSLS credential or ADFS credential." xr:uid="{19E7519C-92A2-C14F-9197-0A08EE0EBCB6}">
          <x14:formula1>
            <xm:f>Reference!$S$3:$S$4</xm:f>
          </x14:formula1>
          <xm:sqref>C39</xm:sqref>
        </x14:dataValidation>
        <x14:dataValidation type="list" allowBlank="1" showInputMessage="1" promptTitle="Hour" prompt="The default date/time is based on the requested deployment date." xr:uid="{8E65FF37-DD3A-B64B-807A-7C6DF81A429D}">
          <x14:formula1>
            <xm:f>Reference!$N$4:$N$15</xm:f>
          </x14:formula1>
          <xm:sqref>E59</xm:sqref>
        </x14:dataValidation>
        <x14:dataValidation type="list" allowBlank="1" showInputMessage="1" promptTitle="AM/PM" prompt="The default date/time is based on the requested deployment date." xr:uid="{70747D29-79BB-D94B-98D5-B9C918226940}">
          <x14:formula1>
            <xm:f>Reference!$P$4:$P$5</xm:f>
          </x14:formula1>
          <xm:sqref>G59</xm:sqref>
        </x14:dataValidation>
        <x14:dataValidation type="list" allowBlank="1" showInputMessage="1" promptTitle="Timezone" prompt="The default date/time is based on the requested deployment date." xr:uid="{83F56F9A-43A1-1D42-A6FF-37D9C4E0E246}">
          <x14:formula1>
            <xm:f>Reference!$Q$4:$Q$5</xm:f>
          </x14:formula1>
          <xm:sqref>H59</xm:sqref>
        </x14:dataValidation>
        <x14:dataValidation type="list" allowBlank="1" showInputMessage="1" showErrorMessage="1" promptTitle="Timezone" prompt="Select the timezone" xr:uid="{D8B622D9-1BFE-3040-852B-719C2EAE6262}">
          <x14:formula1>
            <xm:f>Reference!$Q$4:$Q$5</xm:f>
          </x14:formula1>
          <xm:sqref>H8</xm:sqref>
        </x14:dataValidation>
        <x14:dataValidation type="list" allowBlank="1" showInputMessage="1" showErrorMessage="1" promptTitle="Please Select Certificate Type" prompt="One Signing and One Encryption Certificate is the default configuration._x000a__x000a_Dual Purpose Certificates should be selected when only one certificate will be used by the Relying Party." xr:uid="{FA6A13C6-549F-D746-8EC6-FA2318027360}">
          <x14:formula1>
            <xm:f>Reference!$B$3:$B$5</xm:f>
          </x14:formula1>
          <xm:sqref>D44:H44</xm:sqref>
        </x14:dataValidation>
        <x14:dataValidation type="list" allowBlank="1" showInputMessage="1" showErrorMessage="1" promptTitle="Please select one:" prompt="Public Access: Any NSLS user can access the RP._x000a_Group Access Only: Only users invited through the IDM can access the RP._x000a_Both Public and Group Access: Any NSLS user can access the RP. Users can also be invited through the IDM." xr:uid="{09AE8D09-54B4-8343-8F0B-2E4EEC752EF1}">
          <x14:formula1>
            <xm:f>Reference!$D$3:$D$5</xm:f>
          </x14:formula1>
          <xm:sqref>D21:H21</xm:sqref>
        </x14:dataValidation>
        <x14:dataValidation type="list" allowBlank="1" showInputMessage="1" showErrorMessage="1" promptTitle="Please select one." xr:uid="{6F17D7C0-B9B7-804A-A496-E3CA298B2F44}">
          <x14:formula1>
            <xm:f>Reference!$F$3:$F$4</xm:f>
          </x14:formula1>
          <xm:sqref>D22:H22</xm:sqref>
        </x14:dataValidation>
        <x14:dataValidation type="list" allowBlank="1" showInputMessage="1" promptTitle="Minute" prompt="The default date/time is based on the requested deployment date." xr:uid="{FC29595F-7C5A-2F46-AAE7-5EEBAF8A9C04}">
          <x14:formula1>
            <xm:f>Reference!$O$4:$O$7</xm:f>
          </x14:formula1>
          <xm:sqref>F59</xm:sqref>
        </x14:dataValidation>
        <x14:dataValidation type="list" errorStyle="information" allowBlank="1" showInputMessage="1" promptTitle="Select a date" prompt="The default date/time is based on the requested deployment date." xr:uid="{1759133D-459E-F944-B5D1-E938EBBC9BB1}">
          <x14:formula1>
            <xm:f>Reference!$L$4:$L$15</xm:f>
          </x14:formula1>
          <xm:sqref>D59</xm:sqref>
        </x14:dataValidation>
        <x14:dataValidation type="list" errorStyle="information" allowBlank="1" showInputMessage="1" promptTitle="Select a date" prompt="Minimum 3 business days are required. The next 10 business days are displayed. _x000a__x000a_Please select the maximum amount of time allowed for the change." xr:uid="{E02E6D68-224B-B448-8EEC-1A277DEA289E}">
          <x14:formula1>
            <xm:f>Reference!$L$4:$L$15</xm:f>
          </x14:formula1>
          <xm:sqref>D8</xm:sqref>
        </x14:dataValidation>
        <x14:dataValidation type="list" allowBlank="1" showInputMessage="1" showErrorMessage="1" promptTitle="First Name" prompt="Select Yes for the First Name to be passed to the RP after a successful authentication._x000a__x000a_The First Name is mandatory for all users." xr:uid="{16CD52CB-B6C4-8941-883E-6610E50FDEC0}">
          <x14:formula1>
            <xm:f>Reference!$S$3:$S$4</xm:f>
          </x14:formula1>
          <xm:sqref>C36</xm:sqref>
        </x14:dataValidation>
        <x14:dataValidation type="list" allowBlank="1" showInputMessage="1" showErrorMessage="1" promptTitle="Middle Name" prompt="Select Yes for the Middle Name to be passed to the RP after a successful authentication._x000a__x000a_The Middle Name is optional for all users." xr:uid="{7780C780-830C-8F41-93E4-7A7395E41B77}">
          <x14:formula1>
            <xm:f>Reference!$S$3:$S$4</xm:f>
          </x14:formula1>
          <xm:sqref>C37</xm:sqref>
        </x14:dataValidation>
        <x14:dataValidation type="list" allowBlank="1" showInputMessage="1" showErrorMessage="1" promptTitle="Last Name" prompt="Select Yes for the Last Name to be passed to the RP after a successful authentication._x000a__x000a_The Last Name is mandatory for all users." xr:uid="{72501197-9564-C748-9ECF-0BF612343086}">
          <x14:formula1>
            <xm:f>Reference!$S$3:$S$4</xm:f>
          </x14:formula1>
          <xm:sqref>C38</xm:sqref>
        </x14:dataValidation>
        <x14:dataValidation type="list" allowBlank="1" showInputMessage="1" showErrorMessage="1" promptTitle="Email" prompt="Select Yes for the Email to be passed to the RP after a successful authentication._x000a__x000a_Email is mandatory for all users." xr:uid="{D202751B-A1C5-884B-8911-8BB58B53D69C}">
          <x14:formula1>
            <xm:f>Reference!$S$3:$S$4</xm:f>
          </x14:formula1>
          <xm:sqref>F36:H36</xm:sqref>
        </x14:dataValidation>
        <x14:dataValidation type="list" allowBlank="1" showInputMessage="1" showErrorMessage="1" promptTitle="Role" prompt="Select Yes for the Role to be passed to the RP after a successful authentication._x000a__x000a_The Role is an optional field for Group enrolment. The user may have multiple roles if they are members of multiple groups." xr:uid="{294F6147-DD98-5449-970F-8438FFF900E3}">
          <x14:formula1>
            <xm:f>Reference!$S$3:$S$4</xm:f>
          </x14:formula1>
          <xm:sqref>F37:H37</xm:sqref>
        </x14:dataValidation>
        <x14:dataValidation type="list" allowBlank="1" showInputMessage="1" showErrorMessage="1" promptTitle="Edit Profile" prompt="Select Yes for the Edit Profile link to be passed to the RP after a successful authentication._x000a__x000a_The Edit Profile link can be used to send users back to their NSLS My Account page." xr:uid="{B1428525-0E9D-1342-89BC-A619A68CFCD5}">
          <x14:formula1>
            <xm:f>Reference!$S$3:$S$4</xm:f>
          </x14:formula1>
          <xm:sqref>F38:H38</xm:sqref>
        </x14:dataValidation>
        <x14:dataValidation type="list" allowBlank="1" showInputMessage="1" showErrorMessage="1" xr:uid="{5CDE9178-3897-6E4C-B883-9B14D41096D7}">
          <x14:formula1>
            <xm:f>Reference!$W$3:$W$5</xm:f>
          </x14:formula1>
          <xm:sqref>D42:H42</xm:sqref>
        </x14:dataValidation>
        <x14:dataValidation type="list" allowBlank="1" showInputMessage="1" showErrorMessage="1" promptTitle="Application Type" prompt="Confidential: Encrypted communication IS required._x000a_Public: Encrypted communication IS NOT required." xr:uid="{FAA01D7D-6E94-0D44-BB04-BB873ACBB595}">
          <x14:formula1>
            <xm:f>Reference!$U$3:$U$4</xm:f>
          </x14:formula1>
          <xm:sqref>D24:H24</xm:sqref>
        </x14:dataValidation>
        <x14:dataValidation type="list" allowBlank="1" showInputMessage="1" showErrorMessage="1" xr:uid="{E1C2AAD6-4899-004C-89BE-2ABC8E16244C}">
          <x14:formula1>
            <xm:f>Reference!$Y$3:$Y$4</xm:f>
          </x14:formula1>
          <xm:sqref>D45:H45</xm:sqref>
        </x14:dataValidation>
        <x14:dataValidation type="list" allowBlank="1" showInputMessage="1" showErrorMessage="1" promptTitle="Level Of Assurance" prompt="Please indicate the LOA required for your application. _x000a_Several attributes are only available for LOA2 and LOA3 applications._x000a_" xr:uid="{CB5D6069-457E-3C42-A018-9BAB22AAE77E}">
          <x14:formula1>
            <xm:f>Reference!$H$3:$H$5</xm:f>
          </x14:formula1>
          <xm:sqref>D25:H25</xm:sqref>
        </x14:dataValidation>
        <x14:dataValidation type="list" allowBlank="1" showInputMessage="1" showErrorMessage="1" prompt="If you are not changing the IDP metadata version, please select &quot;MAINTAIN&quot;._x000a__x000a_If you are changing the IDP metadata version, please select &quot;ENABLE&quot;" xr:uid="{B4A8B934-0B3D-C14C-A5C6-A06D2901EC77}">
          <x14:formula1>
            <xm:f>Reference!$F$8:$F$9</xm:f>
          </x14:formula1>
          <xm:sqref>D26</xm:sqref>
        </x14:dataValidation>
        <x14:dataValidation type="list" allowBlank="1" showInputMessage="1" showErrorMessage="1" promptTitle="Health ADFS" prompt="This will allow users belonging to the Health ADFS to access the application." xr:uid="{FF41453F-F685-554D-B570-4E7929CCF09B}">
          <x14:formula1>
            <xm:f>Reference!$S$3:$S$4</xm:f>
          </x14:formula1>
          <xm:sqref>C31</xm:sqref>
        </x14:dataValidation>
        <x14:dataValidation type="list" allowBlank="1" showInputMessage="1" showErrorMessage="1" promptTitle="Gov ADFS" prompt="This will allow users belonging to the Government ADFS to access the application." xr:uid="{2BBFB22B-3C06-1C4C-8D85-C43DD86116B4}">
          <x14:formula1>
            <xm:f>Reference!$S$3:$S$4</xm:f>
          </x14:formula1>
          <xm:sqref>C30</xm:sqref>
        </x14:dataValidation>
        <x14:dataValidation type="list" allowBlank="1" showInputMessage="1" showErrorMessage="1" promptTitle="Account Creation Button" prompt="Disabling the account creation button will restrict access to non-invited users." xr:uid="{9C02325C-B6BC-5048-A4A3-C9675BF18A53}">
          <x14:formula1>
            <xm:f>Reference!$S$3:$S$4</xm:f>
          </x14:formula1>
          <xm:sqref>F29:H29</xm:sqref>
        </x14:dataValidation>
        <x14:dataValidation type="list" allowBlank="1" showInputMessage="1" showErrorMessage="1" promptTitle="Authentication Sources" prompt="All - Users from any authentication can have access to the application._x000a_Restricted - Only users from selected authentication sources can have access to the application." xr:uid="{4D285F78-CB8D-B444-B35E-C9EE74FEF186}">
          <x14:formula1>
            <xm:f>Reference!$S$7:$S$8</xm:f>
          </x14:formula1>
          <xm:sqref>C28</xm:sqref>
        </x14:dataValidation>
        <x14:dataValidation type="list" allowBlank="1" showInputMessage="1" showErrorMessage="1" promptTitle="MyNSID Native Login" prompt="This will allow users with a MyNSID credential to access the application." xr:uid="{882CEF22-A5AD-1A40-9388-5B635E138B2F}">
          <x14:formula1>
            <xm:f>Reference!$S$3:$S$4</xm:f>
          </x14:formula1>
          <xm:sqref>C29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A408D-6F5B-2940-AB2E-D39CD8098BCA}">
  <sheetPr codeName="Sheet4"/>
  <dimension ref="B1:S58"/>
  <sheetViews>
    <sheetView showGridLines="0" zoomScale="90" zoomScaleNormal="90" workbookViewId="0">
      <pane xSplit="9" ySplit="3" topLeftCell="J14" activePane="bottomRight" state="frozen"/>
      <selection activeCell="B23" sqref="B23:D23"/>
      <selection pane="topRight" activeCell="B23" sqref="B23:D23"/>
      <selection pane="bottomLeft" activeCell="B23" sqref="B23:D23"/>
      <selection pane="bottomRight" activeCell="A25" sqref="A25:XFD25"/>
    </sheetView>
  </sheetViews>
  <sheetFormatPr baseColWidth="10" defaultRowHeight="15" x14ac:dyDescent="0.2"/>
  <cols>
    <col min="1" max="1" width="13.1640625" style="31" customWidth="1"/>
    <col min="2" max="2" width="35.5" style="31" customWidth="1"/>
    <col min="3" max="3" width="14" style="31" customWidth="1"/>
    <col min="4" max="4" width="45" style="31" customWidth="1"/>
    <col min="5" max="5" width="12.6640625" style="31" customWidth="1"/>
    <col min="6" max="6" width="9.5" style="31" customWidth="1"/>
    <col min="7" max="7" width="9.6640625" style="31" customWidth="1"/>
    <col min="8" max="8" width="14.6640625" style="31" customWidth="1"/>
    <col min="9" max="9" width="24.83203125" style="31" customWidth="1"/>
    <col min="10" max="10" width="31.83203125" style="31" customWidth="1"/>
    <col min="11" max="11" width="42.6640625" style="31" customWidth="1"/>
    <col min="12" max="12" width="19.1640625" style="31" hidden="1" customWidth="1"/>
    <col min="13" max="16384" width="10.83203125" style="31"/>
  </cols>
  <sheetData>
    <row r="1" spans="2:12" ht="23" customHeight="1" thickBot="1" x14ac:dyDescent="0.25"/>
    <row r="2" spans="2:12" ht="44" customHeight="1" x14ac:dyDescent="0.2">
      <c r="B2" s="144" t="s">
        <v>0</v>
      </c>
      <c r="C2" s="145"/>
      <c r="D2" s="145"/>
      <c r="E2" s="145"/>
      <c r="F2" s="145"/>
      <c r="G2" s="145"/>
      <c r="H2" s="145"/>
      <c r="I2" s="9" t="s">
        <v>89</v>
      </c>
    </row>
    <row r="3" spans="2:12" ht="44" customHeight="1" thickBot="1" x14ac:dyDescent="0.25">
      <c r="B3" s="146" t="s">
        <v>6</v>
      </c>
      <c r="C3" s="147"/>
      <c r="D3" s="147"/>
      <c r="E3" s="147"/>
      <c r="F3" s="147"/>
      <c r="G3" s="147"/>
      <c r="H3" s="147"/>
      <c r="I3" s="10" t="str">
        <f ca="1">IF(OR(COUNTIF(I5:I52, "REQUIRED") &gt;0, COUNTIF(I5:I52, "ERROR") &gt;0), "INCOMPLETE", "COMPLETE")</f>
        <v>INCOMPLETE</v>
      </c>
    </row>
    <row r="4" spans="2:12" ht="29" customHeight="1" x14ac:dyDescent="0.3">
      <c r="B4" s="112" t="s">
        <v>63</v>
      </c>
      <c r="C4" s="113"/>
      <c r="D4" s="113"/>
      <c r="E4" s="113"/>
      <c r="F4" s="113"/>
      <c r="G4" s="113"/>
      <c r="H4" s="114"/>
      <c r="I4" s="11" t="s">
        <v>69</v>
      </c>
    </row>
    <row r="5" spans="2:12" ht="25" customHeight="1" x14ac:dyDescent="0.3">
      <c r="B5" s="128" t="s">
        <v>28</v>
      </c>
      <c r="C5" s="128"/>
      <c r="D5" s="105"/>
      <c r="E5" s="105"/>
      <c r="F5" s="105"/>
      <c r="G5" s="105"/>
      <c r="H5" s="105"/>
      <c r="I5" s="39" t="str">
        <f>IF(D5 = "", "REQUIRED", "COMPLETE")</f>
        <v>REQUIRED</v>
      </c>
    </row>
    <row r="6" spans="2:12" ht="24" x14ac:dyDescent="0.3">
      <c r="B6" s="128" t="s">
        <v>29</v>
      </c>
      <c r="C6" s="128"/>
      <c r="D6" s="105"/>
      <c r="E6" s="105"/>
      <c r="F6" s="105"/>
      <c r="G6" s="105"/>
      <c r="H6" s="105"/>
      <c r="I6" s="40" t="str">
        <f>IF(D6 = "", "REQUIRED", "COMPLETE")</f>
        <v>REQUIRED</v>
      </c>
    </row>
    <row r="7" spans="2:12" ht="24" x14ac:dyDescent="0.3">
      <c r="B7" s="128" t="s">
        <v>15</v>
      </c>
      <c r="C7" s="128"/>
      <c r="D7" s="125" t="str">
        <f ca="1">IF(ISERROR(MID(CELL("filename",A1),FIND("-",CELL("filename",A1),FIND("]",CELL("filename",A1)))+1,4)), "TEST",MID(CELL("filename",A1),FIND("-",CELL("filename",A1),FIND("]",CELL("filename",A1)))+1,4))</f>
        <v>TEST</v>
      </c>
      <c r="E7" s="126"/>
      <c r="F7" s="126"/>
      <c r="G7" s="126"/>
      <c r="H7" s="127"/>
      <c r="I7" s="40" t="str">
        <f ca="1">IF(D7 = "", "REQUIRED", "COMPLETE")</f>
        <v>COMPLETE</v>
      </c>
    </row>
    <row r="8" spans="2:12" ht="24" x14ac:dyDescent="0.3">
      <c r="B8" s="128" t="s">
        <v>31</v>
      </c>
      <c r="C8" s="128"/>
      <c r="D8" s="1"/>
      <c r="E8" s="2"/>
      <c r="F8" s="3"/>
      <c r="G8" s="3"/>
      <c r="H8" s="3"/>
      <c r="I8" s="40" t="str">
        <f>IF(D8 = "", "REQUIRED", "COMPLETE")</f>
        <v>REQUIRED</v>
      </c>
    </row>
    <row r="9" spans="2:12" ht="24" x14ac:dyDescent="0.3">
      <c r="B9" s="129" t="s">
        <v>32</v>
      </c>
      <c r="C9" s="129"/>
      <c r="D9" s="148"/>
      <c r="E9" s="148"/>
      <c r="F9" s="148"/>
      <c r="G9" s="148"/>
      <c r="H9" s="148"/>
      <c r="I9" s="40" t="str">
        <f>IF(D9 = "", "OPTIONAL", "COMPLETE")</f>
        <v>OPTIONAL</v>
      </c>
    </row>
    <row r="10" spans="2:12" ht="24" x14ac:dyDescent="0.3">
      <c r="B10" s="128" t="s">
        <v>113</v>
      </c>
      <c r="C10" s="128"/>
      <c r="D10" s="105"/>
      <c r="E10" s="105"/>
      <c r="F10" s="105"/>
      <c r="G10" s="105"/>
      <c r="H10" s="105"/>
      <c r="I10" s="40" t="str">
        <f ca="1">IF(OR(D7=Reference!J3,D7=""),IF(D10 = "", "NOT REQUIRED", "COMPLETE"), IF(D10 = "", "REQUIRED", "COMPLETE"))</f>
        <v>NOT REQUIRED</v>
      </c>
      <c r="L10" s="77" t="s">
        <v>121</v>
      </c>
    </row>
    <row r="11" spans="2:12" ht="26" x14ac:dyDescent="0.3">
      <c r="B11" s="97" t="s">
        <v>64</v>
      </c>
      <c r="C11" s="98"/>
      <c r="D11" s="98"/>
      <c r="E11" s="98"/>
      <c r="F11" s="98"/>
      <c r="G11" s="98"/>
      <c r="H11" s="98"/>
      <c r="I11" s="99"/>
      <c r="L11" s="45" t="str">
        <f>IF($D$22="","",IF(VLOOKUP($D$22,Reference!$A$24:$F$26,2,FALSE)= 0, "", VLOOKUP($D$22,Reference!$A$24:$F$26,2,FALSE)))</f>
        <v xml:space="preserve">SAML - IDP - SOAP </v>
      </c>
    </row>
    <row r="12" spans="2:12" ht="21" x14ac:dyDescent="0.25">
      <c r="B12" s="116" t="s">
        <v>1</v>
      </c>
      <c r="C12" s="117"/>
      <c r="D12" s="117"/>
      <c r="E12" s="117"/>
      <c r="F12" s="117"/>
      <c r="G12" s="117"/>
      <c r="H12" s="117"/>
      <c r="I12" s="118"/>
      <c r="L12" s="45" t="str">
        <f>IF($D$22="","",IF(VLOOKUP($D$22,Reference!$A$24:$F$26,3,FALSE)= 0, "", VLOOKUP($D$22,Reference!$A$24:$F$26,3,FALSE)))</f>
        <v xml:space="preserve">SAML - IDP - Redirect </v>
      </c>
    </row>
    <row r="13" spans="2:12" ht="24" x14ac:dyDescent="0.3">
      <c r="B13" s="109" t="s">
        <v>37</v>
      </c>
      <c r="C13" s="109"/>
      <c r="D13" s="130"/>
      <c r="E13" s="130"/>
      <c r="F13" s="130"/>
      <c r="G13" s="130"/>
      <c r="H13" s="130"/>
      <c r="I13" s="40" t="str">
        <f>IF(D13 = "", "REQUIRED", "COMPLETE")</f>
        <v>REQUIRED</v>
      </c>
      <c r="L13" s="45" t="str">
        <f>IF($D$22="","",IF(VLOOKUP($D$22,Reference!$A$24:$F$26,4,FALSE)= 0, "", VLOOKUP($D$22,Reference!$A$24:$F$26,4,FALSE)))</f>
        <v xml:space="preserve">SAML - SP </v>
      </c>
    </row>
    <row r="14" spans="2:12" ht="24" x14ac:dyDescent="0.3">
      <c r="B14" s="110" t="s">
        <v>38</v>
      </c>
      <c r="C14" s="110"/>
      <c r="D14" s="105"/>
      <c r="E14" s="105"/>
      <c r="F14" s="105"/>
      <c r="G14" s="105"/>
      <c r="H14" s="105"/>
      <c r="I14" s="111" t="str">
        <f>IF(AND(D14 = "",D15 = ""), "REQUIRED","COMPLETE")</f>
        <v>REQUIRED</v>
      </c>
      <c r="L14" s="45" t="str">
        <f>IF($D$22="","",IF(VLOOKUP($D$22,Reference!$A$24:$F$26,5,FALSE)= 0, "", VLOOKUP($D$22,Reference!$A$24:$F$26,5,FALSE)))</f>
        <v/>
      </c>
    </row>
    <row r="15" spans="2:12" ht="24" x14ac:dyDescent="0.3">
      <c r="B15" s="108" t="s">
        <v>39</v>
      </c>
      <c r="C15" s="108"/>
      <c r="D15" s="107"/>
      <c r="E15" s="107"/>
      <c r="F15" s="107"/>
      <c r="G15" s="107"/>
      <c r="H15" s="107"/>
      <c r="I15" s="111"/>
      <c r="L15" s="45" t="str">
        <f>IF($D$22="","",IF(VLOOKUP($D$22,Reference!$A$24:$F$26,6,FALSE)= 0, "", VLOOKUP($D$22,Reference!$A$24:$F$26,6,FALSE)))</f>
        <v/>
      </c>
    </row>
    <row r="16" spans="2:12" ht="21" x14ac:dyDescent="0.25">
      <c r="B16" s="119" t="s">
        <v>2</v>
      </c>
      <c r="C16" s="120"/>
      <c r="D16" s="120"/>
      <c r="E16" s="120"/>
      <c r="F16" s="120"/>
      <c r="G16" s="120"/>
      <c r="H16" s="120"/>
      <c r="I16" s="121"/>
      <c r="L16" s="45"/>
    </row>
    <row r="17" spans="2:19" ht="24" x14ac:dyDescent="0.3">
      <c r="B17" s="109" t="s">
        <v>37</v>
      </c>
      <c r="C17" s="109"/>
      <c r="D17" s="130"/>
      <c r="E17" s="130"/>
      <c r="F17" s="130"/>
      <c r="G17" s="130"/>
      <c r="H17" s="130"/>
      <c r="I17" s="40" t="str">
        <f>IF(D17 = "", "OPTIONAL", "COMPLETE")</f>
        <v>OPTIONAL</v>
      </c>
    </row>
    <row r="18" spans="2:19" ht="24" x14ac:dyDescent="0.3">
      <c r="B18" s="110" t="s">
        <v>38</v>
      </c>
      <c r="C18" s="110"/>
      <c r="D18" s="105"/>
      <c r="E18" s="105"/>
      <c r="F18" s="105"/>
      <c r="G18" s="105"/>
      <c r="H18" s="105"/>
      <c r="I18" s="40" t="str">
        <f>IF(D18 = "", "OPTIONAL", "COMPLETE")</f>
        <v>OPTIONAL</v>
      </c>
    </row>
    <row r="19" spans="2:19" ht="24" x14ac:dyDescent="0.3">
      <c r="B19" s="108" t="s">
        <v>39</v>
      </c>
      <c r="C19" s="108"/>
      <c r="D19" s="107"/>
      <c r="E19" s="107"/>
      <c r="F19" s="107"/>
      <c r="G19" s="107"/>
      <c r="H19" s="107"/>
      <c r="I19" s="40" t="str">
        <f>IF(D19 = "", "OPTIONAL", "COMPLETE")</f>
        <v>OPTIONAL</v>
      </c>
    </row>
    <row r="20" spans="2:19" ht="26" x14ac:dyDescent="0.3">
      <c r="B20" s="97" t="s">
        <v>65</v>
      </c>
      <c r="C20" s="98"/>
      <c r="D20" s="98"/>
      <c r="E20" s="98"/>
      <c r="F20" s="98"/>
      <c r="G20" s="98"/>
      <c r="H20" s="98"/>
      <c r="I20" s="99"/>
    </row>
    <row r="21" spans="2:19" ht="24" x14ac:dyDescent="0.3">
      <c r="B21" s="109" t="s">
        <v>52</v>
      </c>
      <c r="C21" s="109"/>
      <c r="D21" s="130"/>
      <c r="E21" s="130"/>
      <c r="F21" s="130"/>
      <c r="G21" s="130"/>
      <c r="H21" s="130"/>
      <c r="I21" s="40" t="str">
        <f>IF(D21 = "", "REQUIRED", "COMPLETE")</f>
        <v>REQUIRED</v>
      </c>
      <c r="O21" s="71"/>
    </row>
    <row r="22" spans="2:19" ht="27" customHeight="1" x14ac:dyDescent="0.3">
      <c r="B22" s="110" t="s">
        <v>90</v>
      </c>
      <c r="C22" s="110"/>
      <c r="D22" s="105" t="s">
        <v>60</v>
      </c>
      <c r="E22" s="105"/>
      <c r="F22" s="105"/>
      <c r="G22" s="105"/>
      <c r="H22" s="105"/>
      <c r="I22" s="40" t="str">
        <f>IF(D22 = "", "REQUIRED", "COMPLETE")</f>
        <v>COMPLETE</v>
      </c>
    </row>
    <row r="23" spans="2:19" ht="24" x14ac:dyDescent="0.3">
      <c r="B23" s="108" t="s">
        <v>46</v>
      </c>
      <c r="C23" s="108"/>
      <c r="D23" s="107"/>
      <c r="E23" s="107"/>
      <c r="F23" s="107"/>
      <c r="G23" s="107"/>
      <c r="H23" s="107"/>
      <c r="I23" s="40" t="str">
        <f>IF(D22 = Reference!F4, "NOT REQUIRED", IF(D23 = "", "REQUIRED", "COMPLETE"))</f>
        <v>REQUIRED</v>
      </c>
    </row>
    <row r="24" spans="2:19" ht="24" x14ac:dyDescent="0.3">
      <c r="B24" s="110" t="s">
        <v>85</v>
      </c>
      <c r="C24" s="110"/>
      <c r="D24" s="125"/>
      <c r="E24" s="126"/>
      <c r="F24" s="126"/>
      <c r="G24" s="126"/>
      <c r="H24" s="127"/>
      <c r="I24" s="40" t="str">
        <f>IF(D22 = Reference!F3, "NOT REQUIRED", IF(D22 = Reference!F4, IF(D24 = "","REQUIRED", "COMPLETE"), "NOT REQUIRED" ))</f>
        <v>NOT REQUIRED</v>
      </c>
    </row>
    <row r="25" spans="2:19" ht="24" hidden="1" x14ac:dyDescent="0.3">
      <c r="B25" s="110" t="s">
        <v>114</v>
      </c>
      <c r="C25" s="110"/>
      <c r="D25" s="125"/>
      <c r="E25" s="126"/>
      <c r="F25" s="126"/>
      <c r="G25" s="126"/>
      <c r="H25" s="127"/>
      <c r="I25" s="40" t="str">
        <f>IF(D25 = "", "NOT REQUIRED", "COMPLETE")</f>
        <v>NOT REQUIRED</v>
      </c>
    </row>
    <row r="26" spans="2:19" ht="24" x14ac:dyDescent="0.3">
      <c r="B26" s="103" t="s">
        <v>125</v>
      </c>
      <c r="C26" s="104"/>
      <c r="D26" s="61"/>
      <c r="E26" s="125"/>
      <c r="F26" s="126"/>
      <c r="G26" s="126"/>
      <c r="H26" s="127"/>
      <c r="I26" s="58" t="str">
        <f>IF(OR(E26 = "", D26 = ""), "REQUIRED", "COMPLETE")</f>
        <v>REQUIRED</v>
      </c>
    </row>
    <row r="27" spans="2:19" ht="24" x14ac:dyDescent="0.3">
      <c r="B27" s="103" t="s">
        <v>126</v>
      </c>
      <c r="C27" s="104"/>
      <c r="D27" s="125"/>
      <c r="E27" s="126"/>
      <c r="F27" s="126"/>
      <c r="G27" s="126"/>
      <c r="H27" s="127"/>
      <c r="I27" s="64" t="str">
        <f>IF(D27 = "", "NOT REQUIRED", "COMPLETE")</f>
        <v>NOT REQUIRED</v>
      </c>
    </row>
    <row r="28" spans="2:19" ht="24" x14ac:dyDescent="0.3">
      <c r="B28" s="59" t="s">
        <v>131</v>
      </c>
      <c r="C28" s="60"/>
      <c r="D28" s="119"/>
      <c r="E28" s="120"/>
      <c r="F28" s="120"/>
      <c r="G28" s="120"/>
      <c r="H28" s="121"/>
      <c r="I28" s="64" t="str">
        <f>IF(C28 = "", "REQUIRED", "COMPLETE")</f>
        <v>REQUIRED</v>
      </c>
    </row>
    <row r="29" spans="2:19" ht="24" customHeight="1" x14ac:dyDescent="0.3">
      <c r="B29" s="63" t="s">
        <v>128</v>
      </c>
      <c r="C29" s="61" t="str">
        <f>IF($C$28="All","Yes", "")</f>
        <v/>
      </c>
      <c r="D29" s="103" t="s">
        <v>135</v>
      </c>
      <c r="E29" s="104"/>
      <c r="F29" s="125" t="str">
        <f>IF($C$28="All","Yes", IF(AND(C28 = "Restricted",C29="No"), "No",""))</f>
        <v/>
      </c>
      <c r="G29" s="126"/>
      <c r="H29" s="127"/>
      <c r="I29" s="115" t="str">
        <f>IF(OR(C29 = "",C30 = "",C31 = "",F29 = ""), "REQUIRED:                                        Please select Yes or No for all","COMPLETE")</f>
        <v>REQUIRED:                                        Please select Yes or No for all</v>
      </c>
    </row>
    <row r="30" spans="2:19" ht="24" x14ac:dyDescent="0.3">
      <c r="B30" s="59" t="s">
        <v>129</v>
      </c>
      <c r="C30" s="61" t="str">
        <f>IF($C$28="All","Yes", "")</f>
        <v/>
      </c>
      <c r="D30" s="65"/>
      <c r="E30" s="66"/>
      <c r="F30" s="66"/>
      <c r="G30" s="66"/>
      <c r="H30" s="67"/>
      <c r="I30" s="115"/>
    </row>
    <row r="31" spans="2:19" ht="24" x14ac:dyDescent="0.3">
      <c r="B31" s="59" t="s">
        <v>130</v>
      </c>
      <c r="C31" s="61" t="str">
        <f>IF($C$28="All","Yes", "")</f>
        <v/>
      </c>
      <c r="D31" s="68"/>
      <c r="E31" s="69"/>
      <c r="F31" s="69"/>
      <c r="G31" s="69"/>
      <c r="H31" s="70"/>
      <c r="I31" s="115"/>
    </row>
    <row r="32" spans="2:19" ht="72" customHeight="1" x14ac:dyDescent="0.2">
      <c r="B32" s="152" t="s">
        <v>136</v>
      </c>
      <c r="C32" s="153"/>
      <c r="D32" s="154" t="s">
        <v>145</v>
      </c>
      <c r="E32" s="155"/>
      <c r="F32" s="155"/>
      <c r="G32" s="155"/>
      <c r="H32" s="156"/>
      <c r="I32" s="64" t="str">
        <f>IF(OR(C28 = "All", C28 = ""), "NOT REQUIRED", IF(D32 = "", "REQUIRED", "COMPLETE"))</f>
        <v>NOT REQUIRED</v>
      </c>
      <c r="K32"/>
      <c r="L32"/>
      <c r="M32"/>
      <c r="N32"/>
      <c r="O32"/>
      <c r="P32"/>
      <c r="Q32"/>
      <c r="R32"/>
      <c r="S32"/>
    </row>
    <row r="33" spans="2:19" ht="21" x14ac:dyDescent="0.25">
      <c r="B33" s="119" t="s">
        <v>127</v>
      </c>
      <c r="C33" s="120"/>
      <c r="D33" s="120"/>
      <c r="E33" s="120"/>
      <c r="F33" s="120"/>
      <c r="G33" s="120"/>
      <c r="H33" s="120"/>
      <c r="I33" s="121"/>
      <c r="K33"/>
      <c r="L33"/>
      <c r="M33"/>
      <c r="N33"/>
      <c r="O33"/>
      <c r="P33"/>
      <c r="Q33"/>
      <c r="R33"/>
      <c r="S33"/>
    </row>
    <row r="34" spans="2:19" ht="24" customHeight="1" x14ac:dyDescent="0.3">
      <c r="B34" s="26" t="s">
        <v>40</v>
      </c>
      <c r="C34" s="30"/>
      <c r="D34" s="103" t="s">
        <v>39</v>
      </c>
      <c r="E34" s="104"/>
      <c r="F34" s="122"/>
      <c r="G34" s="123"/>
      <c r="H34" s="124"/>
      <c r="I34" s="115" t="str">
        <f>IF(OR(C34 = "",C35 = "",C36 = "",C37 = "",F34 = "",F35 = "",F36 = ""), "REQUIRED:                                        Please select Yes or No for all","COMPLETE")</f>
        <v>REQUIRED:                                        Please select Yes or No for all</v>
      </c>
      <c r="K34"/>
      <c r="L34"/>
      <c r="M34"/>
      <c r="N34"/>
      <c r="O34"/>
      <c r="P34"/>
      <c r="Q34"/>
      <c r="R34"/>
      <c r="S34"/>
    </row>
    <row r="35" spans="2:19" ht="24" x14ac:dyDescent="0.3">
      <c r="B35" s="27" t="s">
        <v>41</v>
      </c>
      <c r="C35" s="24"/>
      <c r="D35" s="103" t="s">
        <v>43</v>
      </c>
      <c r="E35" s="104"/>
      <c r="F35" s="125"/>
      <c r="G35" s="126"/>
      <c r="H35" s="127"/>
      <c r="I35" s="115"/>
      <c r="K35"/>
      <c r="L35"/>
      <c r="M35"/>
      <c r="N35"/>
      <c r="O35"/>
      <c r="P35"/>
      <c r="Q35"/>
      <c r="R35"/>
      <c r="S35"/>
    </row>
    <row r="36" spans="2:19" ht="24" x14ac:dyDescent="0.3">
      <c r="B36" s="27" t="s">
        <v>42</v>
      </c>
      <c r="C36" s="24"/>
      <c r="D36" s="103" t="s">
        <v>44</v>
      </c>
      <c r="E36" s="104"/>
      <c r="F36" s="125"/>
      <c r="G36" s="126"/>
      <c r="H36" s="127"/>
      <c r="I36" s="115"/>
      <c r="K36"/>
      <c r="L36"/>
      <c r="M36"/>
      <c r="N36"/>
      <c r="O36"/>
      <c r="P36"/>
      <c r="Q36"/>
      <c r="R36"/>
      <c r="S36"/>
    </row>
    <row r="37" spans="2:19" ht="24" x14ac:dyDescent="0.3">
      <c r="B37" s="26" t="s">
        <v>45</v>
      </c>
      <c r="C37" s="25"/>
      <c r="D37" s="21"/>
      <c r="E37" s="22"/>
      <c r="F37" s="22"/>
      <c r="G37" s="22"/>
      <c r="H37" s="23"/>
      <c r="I37" s="115"/>
      <c r="K37"/>
      <c r="L37"/>
      <c r="M37"/>
      <c r="N37"/>
      <c r="O37"/>
      <c r="P37"/>
      <c r="Q37"/>
      <c r="R37"/>
      <c r="S37"/>
    </row>
    <row r="38" spans="2:19" ht="26" x14ac:dyDescent="0.3">
      <c r="B38" s="97" t="s">
        <v>66</v>
      </c>
      <c r="C38" s="98"/>
      <c r="D38" s="98"/>
      <c r="E38" s="98"/>
      <c r="F38" s="98"/>
      <c r="G38" s="98"/>
      <c r="H38" s="98"/>
      <c r="I38" s="99"/>
      <c r="K38"/>
      <c r="L38"/>
      <c r="M38"/>
      <c r="N38"/>
      <c r="O38"/>
      <c r="P38"/>
      <c r="Q38"/>
      <c r="R38"/>
      <c r="S38"/>
    </row>
    <row r="39" spans="2:19" ht="24" x14ac:dyDescent="0.3">
      <c r="B39" s="109" t="s">
        <v>47</v>
      </c>
      <c r="C39" s="109"/>
      <c r="D39" s="130"/>
      <c r="E39" s="130"/>
      <c r="F39" s="130"/>
      <c r="G39" s="130"/>
      <c r="H39" s="130"/>
      <c r="I39" s="40" t="str">
        <f>IF(D39 = "", "REQUIRED", "COMPLETE")</f>
        <v>REQUIRED</v>
      </c>
      <c r="K39"/>
      <c r="L39"/>
      <c r="M39"/>
      <c r="N39"/>
      <c r="O39"/>
      <c r="P39"/>
      <c r="Q39"/>
      <c r="R39"/>
      <c r="S39"/>
    </row>
    <row r="40" spans="2:19" ht="24" x14ac:dyDescent="0.3">
      <c r="B40" s="109" t="s">
        <v>80</v>
      </c>
      <c r="C40" s="109"/>
      <c r="D40" s="130"/>
      <c r="E40" s="130"/>
      <c r="F40" s="130"/>
      <c r="G40" s="130"/>
      <c r="H40" s="130"/>
      <c r="I40" s="40" t="str">
        <f>IF(D40 = "", "REQUIRED", IF(D22 =  Reference!F3, IF(D40 = Reference!W3,"COMPLETE", "ERROR"),IF(D22 = Reference!F4, IF(D40 = Reference!W3, "ERROR", IF(AND(D24 = Reference!U3, D40 = Reference!W5), "ERROR","COMPLETE")),"COMPLETE")))</f>
        <v>REQUIRED</v>
      </c>
    </row>
    <row r="41" spans="2:19" ht="24" x14ac:dyDescent="0.3">
      <c r="B41" s="110" t="s">
        <v>119</v>
      </c>
      <c r="C41" s="110"/>
      <c r="D41" s="105"/>
      <c r="E41" s="105"/>
      <c r="F41" s="105"/>
      <c r="G41" s="105"/>
      <c r="H41" s="105"/>
      <c r="I41" s="40" t="str">
        <f>IF(D41 = "", "REQUIRED", "COMPLETE")</f>
        <v>REQUIRED</v>
      </c>
    </row>
    <row r="42" spans="2:19" ht="24" x14ac:dyDescent="0.3">
      <c r="B42" s="110" t="s">
        <v>30</v>
      </c>
      <c r="C42" s="110"/>
      <c r="D42" s="105"/>
      <c r="E42" s="105"/>
      <c r="F42" s="105"/>
      <c r="G42" s="105"/>
      <c r="H42" s="105"/>
      <c r="I42" s="40" t="str">
        <f>IF(D24=Reference!U4, "NOT REQUIRED",IF(D42 = "", "REQUIRED", "COMPLETE"))</f>
        <v>REQUIRED</v>
      </c>
    </row>
    <row r="43" spans="2:19" ht="24" x14ac:dyDescent="0.3">
      <c r="B43" s="110" t="s">
        <v>84</v>
      </c>
      <c r="C43" s="110"/>
      <c r="D43" s="105"/>
      <c r="E43" s="105"/>
      <c r="F43" s="105"/>
      <c r="G43" s="105"/>
      <c r="H43" s="105"/>
      <c r="I43" s="40" t="str">
        <f>IF(D43 = "", "REQUIRED", IF( D24 = "", IF(D22 = Reference!F3, "ERROR","COMPLETE"),IF(OR(AND(D24 = Reference!U3,D43 = Reference!Y4),AND(D22 = Reference!F3,D43 = Reference!Y4)),"ERROR","COMPLETE")))</f>
        <v>REQUIRED</v>
      </c>
    </row>
    <row r="44" spans="2:19" ht="24" x14ac:dyDescent="0.3">
      <c r="B44" s="110" t="s">
        <v>54</v>
      </c>
      <c r="C44" s="110"/>
      <c r="D44" s="105"/>
      <c r="E44" s="105"/>
      <c r="F44" s="105"/>
      <c r="G44" s="105"/>
      <c r="H44" s="105"/>
      <c r="I44" s="40" t="str">
        <f xml:space="preserve"> IF(D44 = "", "REQUIRED", "COMPLETE")</f>
        <v>REQUIRED</v>
      </c>
    </row>
    <row r="45" spans="2:19" ht="24" x14ac:dyDescent="0.3">
      <c r="B45" s="108" t="s">
        <v>53</v>
      </c>
      <c r="C45" s="108"/>
      <c r="D45" s="107"/>
      <c r="E45" s="107"/>
      <c r="F45" s="107"/>
      <c r="G45" s="107"/>
      <c r="H45" s="107"/>
      <c r="I45" s="40" t="str">
        <f>IF(D45 = "", "REQUIRED", "COMPLETE")</f>
        <v>REQUIRED</v>
      </c>
    </row>
    <row r="46" spans="2:19" ht="26" x14ac:dyDescent="0.2">
      <c r="B46" s="100" t="s">
        <v>112</v>
      </c>
      <c r="C46" s="101"/>
      <c r="D46" s="101"/>
      <c r="E46" s="101"/>
      <c r="F46" s="101"/>
      <c r="G46" s="101"/>
      <c r="H46" s="101"/>
      <c r="I46" s="102"/>
    </row>
    <row r="47" spans="2:19" ht="24" x14ac:dyDescent="0.3">
      <c r="B47" s="131" t="s">
        <v>33</v>
      </c>
      <c r="C47" s="131"/>
      <c r="D47" s="130"/>
      <c r="E47" s="130"/>
      <c r="F47" s="130"/>
      <c r="G47" s="130"/>
      <c r="H47" s="130"/>
      <c r="I47" s="40" t="str">
        <f t="shared" ref="I47:I52" si="0">IF($D$9="YES",IF(D47 = "", "REQUIRED", "COMPLETE"), "NOT REQUIRED")</f>
        <v>NOT REQUIRED</v>
      </c>
    </row>
    <row r="48" spans="2:19" ht="24" customHeight="1" x14ac:dyDescent="0.3">
      <c r="B48" s="132" t="s">
        <v>93</v>
      </c>
      <c r="C48" s="132"/>
      <c r="D48" s="105"/>
      <c r="E48" s="105"/>
      <c r="F48" s="105"/>
      <c r="G48" s="105"/>
      <c r="H48" s="105"/>
      <c r="I48" s="40" t="str">
        <f t="shared" si="0"/>
        <v>NOT REQUIRED</v>
      </c>
    </row>
    <row r="49" spans="2:9" ht="24" customHeight="1" x14ac:dyDescent="0.3">
      <c r="B49" s="132" t="s">
        <v>73</v>
      </c>
      <c r="C49" s="132"/>
      <c r="D49" s="105"/>
      <c r="E49" s="105"/>
      <c r="F49" s="105"/>
      <c r="G49" s="105"/>
      <c r="H49" s="105"/>
      <c r="I49" s="40" t="str">
        <f t="shared" si="0"/>
        <v>NOT REQUIRED</v>
      </c>
    </row>
    <row r="50" spans="2:9" ht="24" customHeight="1" x14ac:dyDescent="0.3">
      <c r="B50" s="132" t="s">
        <v>34</v>
      </c>
      <c r="C50" s="132"/>
      <c r="D50" s="105"/>
      <c r="E50" s="105"/>
      <c r="F50" s="105"/>
      <c r="G50" s="105"/>
      <c r="H50" s="105"/>
      <c r="I50" s="40" t="str">
        <f t="shared" si="0"/>
        <v>NOT REQUIRED</v>
      </c>
    </row>
    <row r="51" spans="2:9" ht="24" customHeight="1" x14ac:dyDescent="0.3">
      <c r="B51" s="132" t="s">
        <v>35</v>
      </c>
      <c r="C51" s="132"/>
      <c r="D51" s="105"/>
      <c r="E51" s="105"/>
      <c r="F51" s="105"/>
      <c r="G51" s="105"/>
      <c r="H51" s="105"/>
      <c r="I51" s="40" t="str">
        <f t="shared" si="0"/>
        <v>NOT REQUIRED</v>
      </c>
    </row>
    <row r="52" spans="2:9" ht="24" customHeight="1" x14ac:dyDescent="0.3">
      <c r="B52" s="108" t="s">
        <v>36</v>
      </c>
      <c r="C52" s="108"/>
      <c r="D52" s="4"/>
      <c r="E52" s="5"/>
      <c r="F52" s="6"/>
      <c r="G52" s="6"/>
      <c r="H52" s="6"/>
      <c r="I52" s="40" t="str">
        <f t="shared" si="0"/>
        <v>NOT REQUIRED</v>
      </c>
    </row>
    <row r="53" spans="2:9" ht="24" customHeight="1" x14ac:dyDescent="0.3">
      <c r="B53" s="97" t="s">
        <v>51</v>
      </c>
      <c r="C53" s="98"/>
      <c r="D53" s="98"/>
      <c r="E53" s="98"/>
      <c r="F53" s="98"/>
      <c r="G53" s="98"/>
      <c r="H53" s="98"/>
      <c r="I53" s="99"/>
    </row>
    <row r="54" spans="2:9" x14ac:dyDescent="0.2">
      <c r="B54" s="142" t="s">
        <v>74</v>
      </c>
      <c r="C54" s="142"/>
      <c r="D54" s="133"/>
      <c r="E54" s="134"/>
      <c r="F54" s="134"/>
      <c r="G54" s="134"/>
      <c r="H54" s="134"/>
      <c r="I54" s="135"/>
    </row>
    <row r="55" spans="2:9" ht="15" customHeight="1" x14ac:dyDescent="0.2">
      <c r="B55" s="143"/>
      <c r="C55" s="143"/>
      <c r="D55" s="136"/>
      <c r="E55" s="137"/>
      <c r="F55" s="137"/>
      <c r="G55" s="137"/>
      <c r="H55" s="137"/>
      <c r="I55" s="138"/>
    </row>
    <row r="56" spans="2:9" ht="15" customHeight="1" x14ac:dyDescent="0.2">
      <c r="B56" s="143"/>
      <c r="C56" s="143"/>
      <c r="D56" s="136"/>
      <c r="E56" s="137"/>
      <c r="F56" s="137"/>
      <c r="G56" s="137"/>
      <c r="H56" s="137"/>
      <c r="I56" s="138"/>
    </row>
    <row r="57" spans="2:9" ht="15" customHeight="1" x14ac:dyDescent="0.2">
      <c r="B57" s="143"/>
      <c r="C57" s="143"/>
      <c r="D57" s="139"/>
      <c r="E57" s="140"/>
      <c r="F57" s="140"/>
      <c r="G57" s="140"/>
      <c r="H57" s="140"/>
      <c r="I57" s="141"/>
    </row>
    <row r="58" spans="2:9" ht="15" customHeight="1" x14ac:dyDescent="0.2"/>
  </sheetData>
  <dataConsolidate/>
  <mergeCells count="89">
    <mergeCell ref="B49:C49"/>
    <mergeCell ref="D49:H49"/>
    <mergeCell ref="B44:C44"/>
    <mergeCell ref="B54:C57"/>
    <mergeCell ref="D54:I57"/>
    <mergeCell ref="B50:C50"/>
    <mergeCell ref="D50:H50"/>
    <mergeCell ref="B51:C51"/>
    <mergeCell ref="D51:H51"/>
    <mergeCell ref="B52:C52"/>
    <mergeCell ref="B53:I53"/>
    <mergeCell ref="B48:C48"/>
    <mergeCell ref="D48:H48"/>
    <mergeCell ref="D44:H44"/>
    <mergeCell ref="B45:C45"/>
    <mergeCell ref="D39:H39"/>
    <mergeCell ref="B41:C41"/>
    <mergeCell ref="D41:H41"/>
    <mergeCell ref="B42:C42"/>
    <mergeCell ref="D42:H42"/>
    <mergeCell ref="B40:C40"/>
    <mergeCell ref="D40:H40"/>
    <mergeCell ref="D45:H45"/>
    <mergeCell ref="B46:I46"/>
    <mergeCell ref="B47:C47"/>
    <mergeCell ref="D47:H47"/>
    <mergeCell ref="B43:C43"/>
    <mergeCell ref="D43:H43"/>
    <mergeCell ref="B24:C24"/>
    <mergeCell ref="D24:H24"/>
    <mergeCell ref="B25:C25"/>
    <mergeCell ref="D25:H25"/>
    <mergeCell ref="B33:I33"/>
    <mergeCell ref="B26:C26"/>
    <mergeCell ref="E26:H26"/>
    <mergeCell ref="B27:C27"/>
    <mergeCell ref="D27:H27"/>
    <mergeCell ref="D28:H28"/>
    <mergeCell ref="D29:E29"/>
    <mergeCell ref="F29:H29"/>
    <mergeCell ref="B32:C32"/>
    <mergeCell ref="D32:H32"/>
    <mergeCell ref="I29:I31"/>
    <mergeCell ref="D34:E34"/>
    <mergeCell ref="F34:H34"/>
    <mergeCell ref="I34:I37"/>
    <mergeCell ref="D35:E35"/>
    <mergeCell ref="F35:H35"/>
    <mergeCell ref="D36:E36"/>
    <mergeCell ref="F36:H36"/>
    <mergeCell ref="B38:I38"/>
    <mergeCell ref="B39:C39"/>
    <mergeCell ref="B23:C23"/>
    <mergeCell ref="D23:H23"/>
    <mergeCell ref="B16:I16"/>
    <mergeCell ref="B17:C17"/>
    <mergeCell ref="D17:H17"/>
    <mergeCell ref="B18:C18"/>
    <mergeCell ref="D18:H18"/>
    <mergeCell ref="B19:C19"/>
    <mergeCell ref="D19:H19"/>
    <mergeCell ref="B20:I20"/>
    <mergeCell ref="B21:C21"/>
    <mergeCell ref="D21:H21"/>
    <mergeCell ref="B22:C22"/>
    <mergeCell ref="D22:H22"/>
    <mergeCell ref="B11:I11"/>
    <mergeCell ref="B12:I12"/>
    <mergeCell ref="B13:C13"/>
    <mergeCell ref="D13:H13"/>
    <mergeCell ref="B14:C14"/>
    <mergeCell ref="D14:H14"/>
    <mergeCell ref="I14:I15"/>
    <mergeCell ref="B15:C15"/>
    <mergeCell ref="D15:H15"/>
    <mergeCell ref="B10:C10"/>
    <mergeCell ref="D10:H10"/>
    <mergeCell ref="B2:H2"/>
    <mergeCell ref="B3:H3"/>
    <mergeCell ref="B4:H4"/>
    <mergeCell ref="B5:C5"/>
    <mergeCell ref="D5:H5"/>
    <mergeCell ref="B6:C6"/>
    <mergeCell ref="D6:H6"/>
    <mergeCell ref="B7:C7"/>
    <mergeCell ref="D7:H7"/>
    <mergeCell ref="B8:C8"/>
    <mergeCell ref="B9:C9"/>
    <mergeCell ref="D9:H9"/>
  </mergeCells>
  <conditionalFormatting sqref="I5">
    <cfRule type="cellIs" dxfId="105" priority="204" operator="equal">
      <formula>"REQUIRED"</formula>
    </cfRule>
  </conditionalFormatting>
  <conditionalFormatting sqref="I39 I5:I9 I21:I23 I13:I15 I47:I52 I17:I19 I44:I45 I41:I42">
    <cfRule type="cellIs" dxfId="104" priority="198" operator="equal">
      <formula>"NOT REQUIRED"</formula>
    </cfRule>
    <cfRule type="containsText" dxfId="103" priority="200" operator="containsText" text="Warning">
      <formula>NOT(ISERROR(SEARCH("Warning",I5)))</formula>
    </cfRule>
    <cfRule type="cellIs" dxfId="102" priority="201" operator="equal">
      <formula>"Warning*"</formula>
    </cfRule>
    <cfRule type="cellIs" dxfId="101" priority="202" operator="equal">
      <formula>"COMPLETE"</formula>
    </cfRule>
    <cfRule type="cellIs" dxfId="100" priority="203" operator="equal">
      <formula>"REQUIRED"</formula>
    </cfRule>
  </conditionalFormatting>
  <conditionalFormatting sqref="I1:I2 I13:I15 I21:I23 I34:I37 I39 I47:I52 I58:I1048576 I17:I19 I44:I45 I41:I42 I5:I9">
    <cfRule type="containsText" dxfId="99" priority="197" operator="containsText" text="OPTIONAL">
      <formula>NOT(ISERROR(SEARCH("OPTIONAL",I1)))</formula>
    </cfRule>
    <cfRule type="containsText" dxfId="98" priority="199" operator="containsText" text="REQUIRED">
      <formula>NOT(ISERROR(SEARCH("REQUIRED",I1)))</formula>
    </cfRule>
  </conditionalFormatting>
  <conditionalFormatting sqref="I34:I37">
    <cfRule type="cellIs" dxfId="97" priority="196" operator="equal">
      <formula>"COMPLETE"</formula>
    </cfRule>
  </conditionalFormatting>
  <conditionalFormatting sqref="I24">
    <cfRule type="cellIs" dxfId="96" priority="190" operator="equal">
      <formula>"NOT REQUIRED"</formula>
    </cfRule>
    <cfRule type="containsText" dxfId="95" priority="192" operator="containsText" text="Warning">
      <formula>NOT(ISERROR(SEARCH("Warning",I24)))</formula>
    </cfRule>
    <cfRule type="cellIs" dxfId="94" priority="193" operator="equal">
      <formula>"Warning*"</formula>
    </cfRule>
    <cfRule type="cellIs" dxfId="93" priority="194" operator="equal">
      <formula>"COMPLETE"</formula>
    </cfRule>
    <cfRule type="cellIs" dxfId="92" priority="195" operator="equal">
      <formula>"REQUIRED"</formula>
    </cfRule>
  </conditionalFormatting>
  <conditionalFormatting sqref="I24">
    <cfRule type="containsText" dxfId="91" priority="189" operator="containsText" text="OPTIONAL">
      <formula>NOT(ISERROR(SEARCH("OPTIONAL",I24)))</formula>
    </cfRule>
    <cfRule type="containsText" dxfId="90" priority="191" operator="containsText" text="REQUIRED">
      <formula>NOT(ISERROR(SEARCH("REQUIRED",I24)))</formula>
    </cfRule>
  </conditionalFormatting>
  <conditionalFormatting sqref="I40">
    <cfRule type="cellIs" dxfId="89" priority="183" operator="equal">
      <formula>"NOT REQUIRED"</formula>
    </cfRule>
    <cfRule type="containsText" dxfId="88" priority="185" operator="containsText" text="Warning">
      <formula>NOT(ISERROR(SEARCH("Warning",I40)))</formula>
    </cfRule>
    <cfRule type="cellIs" dxfId="87" priority="186" operator="equal">
      <formula>"Warning*"</formula>
    </cfRule>
    <cfRule type="cellIs" dxfId="86" priority="187" operator="equal">
      <formula>"COMPLETE"</formula>
    </cfRule>
    <cfRule type="cellIs" dxfId="85" priority="188" operator="equal">
      <formula>"REQUIRED"</formula>
    </cfRule>
  </conditionalFormatting>
  <conditionalFormatting sqref="I40">
    <cfRule type="containsText" dxfId="84" priority="182" operator="containsText" text="OPTIONAL">
      <formula>NOT(ISERROR(SEARCH("OPTIONAL",I40)))</formula>
    </cfRule>
    <cfRule type="containsText" dxfId="83" priority="184" operator="containsText" text="REQUIRED">
      <formula>NOT(ISERROR(SEARCH("REQUIRED",I40)))</formula>
    </cfRule>
  </conditionalFormatting>
  <conditionalFormatting sqref="I43">
    <cfRule type="cellIs" dxfId="82" priority="176" operator="equal">
      <formula>"NOT REQUIRED"</formula>
    </cfRule>
    <cfRule type="cellIs" dxfId="81" priority="179" operator="equal">
      <formula>"Warning*"</formula>
    </cfRule>
    <cfRule type="cellIs" dxfId="80" priority="180" operator="equal">
      <formula>"COMPLETE"</formula>
    </cfRule>
    <cfRule type="cellIs" dxfId="79" priority="181" operator="equal">
      <formula>"REQUIRED"</formula>
    </cfRule>
  </conditionalFormatting>
  <conditionalFormatting sqref="I43">
    <cfRule type="containsText" dxfId="78" priority="175" operator="containsText" text="OPTIONAL">
      <formula>NOT(ISERROR(SEARCH("OPTIONAL",I43)))</formula>
    </cfRule>
    <cfRule type="containsText" dxfId="77" priority="177" operator="containsText" text="REQUIRED">
      <formula>NOT(ISERROR(SEARCH("REQUIRED",I43)))</formula>
    </cfRule>
  </conditionalFormatting>
  <conditionalFormatting sqref="I2">
    <cfRule type="containsText" dxfId="76" priority="173" operator="containsText" text="OPTIONAL">
      <formula>NOT(ISERROR(SEARCH("OPTIONAL",I2)))</formula>
    </cfRule>
    <cfRule type="containsText" dxfId="75" priority="174" operator="containsText" text="REQUIRED">
      <formula>NOT(ISERROR(SEARCH("REQUIRED",I2)))</formula>
    </cfRule>
  </conditionalFormatting>
  <conditionalFormatting sqref="I3">
    <cfRule type="cellIs" dxfId="74" priority="165" operator="equal">
      <formula>"COMPLETE"</formula>
    </cfRule>
    <cfRule type="containsText" dxfId="73" priority="166" operator="containsText" text="INCOMPLETE">
      <formula>NOT(ISERROR(SEARCH("INCOMPLETE",I3)))</formula>
    </cfRule>
    <cfRule type="containsText" dxfId="72" priority="171" operator="containsText" text="OPTIONAL">
      <formula>NOT(ISERROR(SEARCH("OPTIONAL",I3)))</formula>
    </cfRule>
    <cfRule type="containsText" dxfId="71" priority="172" operator="containsText" text="REQUIRED">
      <formula>NOT(ISERROR(SEARCH("REQUIRED",I3)))</formula>
    </cfRule>
  </conditionalFormatting>
  <conditionalFormatting sqref="I4">
    <cfRule type="containsText" dxfId="70" priority="169" operator="containsText" text="OPTIONAL">
      <formula>NOT(ISERROR(SEARCH("OPTIONAL",I4)))</formula>
    </cfRule>
    <cfRule type="containsText" dxfId="69" priority="170" operator="containsText" text="REQUIRED">
      <formula>NOT(ISERROR(SEARCH("REQUIRED",I4)))</formula>
    </cfRule>
  </conditionalFormatting>
  <conditionalFormatting sqref="I4">
    <cfRule type="containsText" dxfId="68" priority="167" operator="containsText" text="OPTIONAL">
      <formula>NOT(ISERROR(SEARCH("OPTIONAL",I4)))</formula>
    </cfRule>
    <cfRule type="containsText" dxfId="67" priority="168" operator="containsText" text="REQUIRED">
      <formula>NOT(ISERROR(SEARCH("REQUIRED",I4)))</formula>
    </cfRule>
  </conditionalFormatting>
  <conditionalFormatting sqref="D5:I6 D11:I24 D33:I52 D8:I9 D7 I7">
    <cfRule type="containsText" dxfId="66" priority="178" operator="containsText" text="ERROR">
      <formula>NOT(ISERROR(SEARCH("ERROR",D5)))</formula>
    </cfRule>
  </conditionalFormatting>
  <conditionalFormatting sqref="D5:H6 D11:H24 D8:H9 D7 D33:H52 D28:D30 F29:H29">
    <cfRule type="expression" dxfId="65" priority="163">
      <formula>$I5="ERROR"</formula>
    </cfRule>
    <cfRule type="expression" dxfId="64" priority="164">
      <formula>$I5="NOT REQUIRED"</formula>
    </cfRule>
  </conditionalFormatting>
  <conditionalFormatting sqref="I25">
    <cfRule type="containsText" dxfId="63" priority="152" operator="containsText" text="ERROR">
      <formula>NOT(ISERROR(SEARCH("ERROR",I25)))</formula>
    </cfRule>
  </conditionalFormatting>
  <conditionalFormatting sqref="D25:H25">
    <cfRule type="containsText" dxfId="62" priority="162" operator="containsText" text="ERROR">
      <formula>NOT(ISERROR(SEARCH("ERROR",D25)))</formula>
    </cfRule>
  </conditionalFormatting>
  <conditionalFormatting sqref="D25:H25">
    <cfRule type="expression" dxfId="61" priority="160">
      <formula>$I25="ERROR"</formula>
    </cfRule>
    <cfRule type="expression" dxfId="60" priority="161">
      <formula>$I25="NOT REQUIRED"</formula>
    </cfRule>
  </conditionalFormatting>
  <conditionalFormatting sqref="I25">
    <cfRule type="cellIs" dxfId="59" priority="154" operator="equal">
      <formula>"NOT REQUIRED"</formula>
    </cfRule>
    <cfRule type="containsText" dxfId="58" priority="156" operator="containsText" text="Warning">
      <formula>NOT(ISERROR(SEARCH("Warning",I25)))</formula>
    </cfRule>
    <cfRule type="cellIs" dxfId="57" priority="157" operator="equal">
      <formula>"Warning*"</formula>
    </cfRule>
    <cfRule type="cellIs" dxfId="56" priority="158" operator="equal">
      <formula>"COMPLETE"</formula>
    </cfRule>
    <cfRule type="cellIs" dxfId="55" priority="159" operator="equal">
      <formula>"REQUIRED"</formula>
    </cfRule>
  </conditionalFormatting>
  <conditionalFormatting sqref="I25">
    <cfRule type="containsText" dxfId="54" priority="153" operator="containsText" text="OPTIONAL">
      <formula>NOT(ISERROR(SEARCH("OPTIONAL",I25)))</formula>
    </cfRule>
    <cfRule type="containsText" dxfId="53" priority="155" operator="containsText" text="REQUIRED">
      <formula>NOT(ISERROR(SEARCH("REQUIRED",I25)))</formula>
    </cfRule>
  </conditionalFormatting>
  <conditionalFormatting sqref="I10">
    <cfRule type="cellIs" dxfId="52" priority="146" operator="equal">
      <formula>"NOT REQUIRED"</formula>
    </cfRule>
    <cfRule type="containsText" dxfId="51" priority="148" operator="containsText" text="Warning">
      <formula>NOT(ISERROR(SEARCH("Warning",I10)))</formula>
    </cfRule>
    <cfRule type="cellIs" dxfId="50" priority="149" operator="equal">
      <formula>"Warning*"</formula>
    </cfRule>
    <cfRule type="cellIs" dxfId="49" priority="150" operator="equal">
      <formula>"COMPLETE"</formula>
    </cfRule>
    <cfRule type="cellIs" dxfId="48" priority="151" operator="equal">
      <formula>"REQUIRED"</formula>
    </cfRule>
  </conditionalFormatting>
  <conditionalFormatting sqref="I10">
    <cfRule type="containsText" dxfId="47" priority="145" operator="containsText" text="OPTIONAL">
      <formula>NOT(ISERROR(SEARCH("OPTIONAL",I10)))</formula>
    </cfRule>
    <cfRule type="containsText" dxfId="46" priority="147" operator="containsText" text="REQUIRED">
      <formula>NOT(ISERROR(SEARCH("REQUIRED",I10)))</formula>
    </cfRule>
  </conditionalFormatting>
  <conditionalFormatting sqref="I10">
    <cfRule type="containsText" dxfId="45" priority="144" operator="containsText" text="ERROR">
      <formula>NOT(ISERROR(SEARCH("ERROR",I10)))</formula>
    </cfRule>
  </conditionalFormatting>
  <conditionalFormatting sqref="D10:H10">
    <cfRule type="containsText" dxfId="44" priority="141" operator="containsText" text="ERROR">
      <formula>NOT(ISERROR(SEARCH("ERROR",D10)))</formula>
    </cfRule>
  </conditionalFormatting>
  <conditionalFormatting sqref="D10:H10">
    <cfRule type="expression" dxfId="43" priority="139">
      <formula>$I10="ERROR"</formula>
    </cfRule>
    <cfRule type="expression" dxfId="42" priority="140">
      <formula>$I10="NOT REQUIRED"</formula>
    </cfRule>
  </conditionalFormatting>
  <conditionalFormatting sqref="I26">
    <cfRule type="cellIs" dxfId="41" priority="133" operator="equal">
      <formula>"NOT REQUIRED"</formula>
    </cfRule>
    <cfRule type="containsText" dxfId="40" priority="135" operator="containsText" text="Warning">
      <formula>NOT(ISERROR(SEARCH("Warning",I26)))</formula>
    </cfRule>
    <cfRule type="cellIs" dxfId="39" priority="136" operator="equal">
      <formula>"Warning*"</formula>
    </cfRule>
    <cfRule type="cellIs" dxfId="38" priority="137" operator="equal">
      <formula>"COMPLETE"</formula>
    </cfRule>
    <cfRule type="cellIs" dxfId="37" priority="138" operator="equal">
      <formula>"REQUIRED"</formula>
    </cfRule>
  </conditionalFormatting>
  <conditionalFormatting sqref="I26">
    <cfRule type="containsText" dxfId="36" priority="132" operator="containsText" text="OPTIONAL">
      <formula>NOT(ISERROR(SEARCH("OPTIONAL",I26)))</formula>
    </cfRule>
    <cfRule type="containsText" dxfId="35" priority="134" operator="containsText" text="REQUIRED">
      <formula>NOT(ISERROR(SEARCH("REQUIRED",I26)))</formula>
    </cfRule>
  </conditionalFormatting>
  <conditionalFormatting sqref="D26">
    <cfRule type="containsText" dxfId="34" priority="127" operator="containsText" text="ENABLE">
      <formula>NOT(ISERROR(SEARCH("ENABLE",D26)))</formula>
    </cfRule>
  </conditionalFormatting>
  <conditionalFormatting sqref="D27:H27">
    <cfRule type="containsText" dxfId="33" priority="89" operator="containsText" text="ERROR">
      <formula>NOT(ISERROR(SEARCH("ERROR",D27)))</formula>
    </cfRule>
  </conditionalFormatting>
  <conditionalFormatting sqref="D27:H27">
    <cfRule type="expression" dxfId="32" priority="87">
      <formula>$I27="ERROR"</formula>
    </cfRule>
    <cfRule type="expression" dxfId="31" priority="88">
      <formula>$I27="NOT REQUIRED"</formula>
    </cfRule>
  </conditionalFormatting>
  <conditionalFormatting sqref="I30:I31 D28:D30 F29:I29">
    <cfRule type="containsText" dxfId="30" priority="73" operator="containsText" text="ERROR">
      <formula>NOT(ISERROR(SEARCH("ERROR",D28)))</formula>
    </cfRule>
  </conditionalFormatting>
  <conditionalFormatting sqref="I29:I31">
    <cfRule type="containsText" dxfId="29" priority="75" operator="containsText" text="OPTIONAL">
      <formula>NOT(ISERROR(SEARCH("OPTIONAL",I29)))</formula>
    </cfRule>
    <cfRule type="containsText" dxfId="28" priority="76" operator="containsText" text="REQUIRED">
      <formula>NOT(ISERROR(SEARCH("REQUIRED",I29)))</formula>
    </cfRule>
  </conditionalFormatting>
  <conditionalFormatting sqref="I29:I31">
    <cfRule type="cellIs" dxfId="27" priority="74" operator="equal">
      <formula>"COMPLETE"</formula>
    </cfRule>
  </conditionalFormatting>
  <conditionalFormatting sqref="I28">
    <cfRule type="cellIs" dxfId="26" priority="65" operator="equal">
      <formula>"NOT REQUIRED"</formula>
    </cfRule>
    <cfRule type="containsText" dxfId="25" priority="67" operator="containsText" text="Warning">
      <formula>NOT(ISERROR(SEARCH("Warning",I28)))</formula>
    </cfRule>
    <cfRule type="cellIs" dxfId="24" priority="68" operator="equal">
      <formula>"Warning*"</formula>
    </cfRule>
    <cfRule type="cellIs" dxfId="23" priority="69" operator="equal">
      <formula>"COMPLETE"</formula>
    </cfRule>
    <cfRule type="cellIs" dxfId="22" priority="70" operator="equal">
      <formula>"REQUIRED"</formula>
    </cfRule>
  </conditionalFormatting>
  <conditionalFormatting sqref="I28">
    <cfRule type="containsText" dxfId="21" priority="64" operator="containsText" text="OPTIONAL">
      <formula>NOT(ISERROR(SEARCH("OPTIONAL",I28)))</formula>
    </cfRule>
    <cfRule type="containsText" dxfId="20" priority="66" operator="containsText" text="REQUIRED">
      <formula>NOT(ISERROR(SEARCH("REQUIRED",I28)))</formula>
    </cfRule>
  </conditionalFormatting>
  <conditionalFormatting sqref="I28">
    <cfRule type="containsText" dxfId="19" priority="63" operator="containsText" text="ERROR">
      <formula>NOT(ISERROR(SEARCH("ERROR",I28)))</formula>
    </cfRule>
  </conditionalFormatting>
  <conditionalFormatting sqref="D32:H32">
    <cfRule type="containsText" dxfId="18" priority="62" operator="containsText" text="ERROR">
      <formula>NOT(ISERROR(SEARCH("ERROR",D32)))</formula>
    </cfRule>
  </conditionalFormatting>
  <conditionalFormatting sqref="D32:H32">
    <cfRule type="expression" dxfId="17" priority="60">
      <formula>$I32="ERROR"</formula>
    </cfRule>
    <cfRule type="expression" dxfId="16" priority="61">
      <formula>$I32="NOT REQUIRED"</formula>
    </cfRule>
  </conditionalFormatting>
  <conditionalFormatting sqref="I32">
    <cfRule type="cellIs" dxfId="15" priority="54" operator="equal">
      <formula>"NOT REQUIRED"</formula>
    </cfRule>
    <cfRule type="containsText" dxfId="14" priority="56" operator="containsText" text="Warning">
      <formula>NOT(ISERROR(SEARCH("Warning",I32)))</formula>
    </cfRule>
    <cfRule type="cellIs" dxfId="13" priority="57" operator="equal">
      <formula>"Warning*"</formula>
    </cfRule>
    <cfRule type="cellIs" dxfId="12" priority="58" operator="equal">
      <formula>"COMPLETE"</formula>
    </cfRule>
    <cfRule type="cellIs" dxfId="11" priority="59" operator="equal">
      <formula>"REQUIRED"</formula>
    </cfRule>
  </conditionalFormatting>
  <conditionalFormatting sqref="I32">
    <cfRule type="containsText" dxfId="10" priority="53" operator="containsText" text="OPTIONAL">
      <formula>NOT(ISERROR(SEARCH("OPTIONAL",I32)))</formula>
    </cfRule>
    <cfRule type="containsText" dxfId="9" priority="55" operator="containsText" text="REQUIRED">
      <formula>NOT(ISERROR(SEARCH("REQUIRED",I32)))</formula>
    </cfRule>
  </conditionalFormatting>
  <conditionalFormatting sqref="I32">
    <cfRule type="containsText" dxfId="8" priority="52" operator="containsText" text="ERROR">
      <formula>NOT(ISERROR(SEARCH("ERROR",I32)))</formula>
    </cfRule>
  </conditionalFormatting>
  <conditionalFormatting sqref="I27">
    <cfRule type="cellIs" dxfId="7" priority="3" operator="equal">
      <formula>"NOT REQUIRED"</formula>
    </cfRule>
    <cfRule type="containsText" dxfId="6" priority="5" operator="containsText" text="Warning">
      <formula>NOT(ISERROR(SEARCH("Warning",I27)))</formula>
    </cfRule>
    <cfRule type="cellIs" dxfId="5" priority="6" operator="equal">
      <formula>"Warning*"</formula>
    </cfRule>
    <cfRule type="cellIs" dxfId="4" priority="7" operator="equal">
      <formula>"COMPLETE"</formula>
    </cfRule>
    <cfRule type="cellIs" dxfId="3" priority="8" operator="equal">
      <formula>"REQUIRED"</formula>
    </cfRule>
  </conditionalFormatting>
  <conditionalFormatting sqref="I27">
    <cfRule type="containsText" dxfId="2" priority="2" operator="containsText" text="OPTIONAL">
      <formula>NOT(ISERROR(SEARCH("OPTIONAL",I27)))</formula>
    </cfRule>
    <cfRule type="containsText" dxfId="1" priority="4" operator="containsText" text="REQUIRED">
      <formula>NOT(ISERROR(SEARCH("REQUIRED",I27)))</formula>
    </cfRule>
  </conditionalFormatting>
  <conditionalFormatting sqref="I27">
    <cfRule type="containsText" dxfId="0" priority="1" operator="containsText" text="ERROR">
      <formula>NOT(ISERROR(SEARCH("ERROR",I27)))</formula>
    </cfRule>
  </conditionalFormatting>
  <dataValidations count="7">
    <dataValidation allowBlank="1" showInputMessage="1" showErrorMessage="1" prompt="If an ERROR appears it is likely because SAML applications must have the Application Type set to Confidential._x000a_" sqref="I24" xr:uid="{BCCCAFF3-A50A-D249-80BC-6CC16B367EBA}"/>
    <dataValidation allowBlank="1" showInputMessage="1" showErrorMessage="1" prompt="If an ERROR appears it is likely because:_x000a_SAML metadata must be .XML_x000a_OIDC and Confidential must be .TXT_x000a_OIDC and Public must be .TXT or .JSON_x000a_" sqref="I40" xr:uid="{FDF0CF81-A0A6-464B-87B6-46C741D6F0D3}"/>
    <dataValidation allowBlank="1" showInputMessage="1" showErrorMessage="1" prompt="If an ERROR message appears, it is because you have selected:_x000a_1) Un-Signed and have Confidential selected as the Application Type. Metadata must be signed if the application type is Confidential._x000a_ 2) Selected SAML. SAML Metadata must be Signed." sqref="I43" xr:uid="{31D2D296-29FF-0D48-A211-94068232D53A}"/>
    <dataValidation allowBlank="1" showInputMessage="1" showErrorMessage="1" promptTitle="Application URL" prompt="Please provide the URL for the RP Application." sqref="D23:H23" xr:uid="{81EB5D1B-E259-234E-BC3B-D80E39653795}"/>
    <dataValidation allowBlank="1" showInputMessage="1" showErrorMessage="1" promptTitle="Affiliation" prompt="Please provide the entityID for the application you wish to be affiliated with." sqref="D27:H27" xr:uid="{632CBDA3-8FEB-CF4E-A128-0BE837CE4B70}"/>
    <dataValidation allowBlank="1" showInputMessage="1" showErrorMessage="1" promptTitle="Access Denied Error Message" prompt="This message is displayed if the Enabled Authentication Sources is set to &quot;Restricted&quot; and the user is trying to access the service with a non-enabled authentication source. _x000a_" sqref="D32:H32" xr:uid="{F569631F-BA48-1D4A-8DFB-8EF3F0AF3FFA}"/>
    <dataValidation type="list" allowBlank="1" showInputMessage="1" showErrorMessage="1" promptTitle="IDP Metadata Version" prompt="Please ensure the Protocol Type has been selected before selecting the version." sqref="E26:H26" xr:uid="{EF58F7F2-52C7-D646-A454-5A016F8D97F0}">
      <formula1>$L$11:$L$16</formula1>
    </dataValidation>
  </dataValidations>
  <hyperlinks>
    <hyperlink ref="B51" r:id="rId1" display="mailto:Perry.Hamilton@novascotia.ca" xr:uid="{2FD1FFAB-A5CC-FA49-A234-2FAC9F665D49}"/>
    <hyperlink ref="B49" r:id="rId2" display="tel:(902) 667-6285" xr:uid="{326F5550-BD48-0647-A4E7-DDD7FF8175A2}"/>
  </hyperlinks>
  <pageMargins left="0.7" right="0.7" top="0.75" bottom="0.75" header="0.3" footer="0.3"/>
  <pageSetup scale="51" orientation="portrait" horizontalDpi="0" verticalDpi="0"/>
  <colBreaks count="1" manualBreakCount="1">
    <brk id="10" max="56" man="1"/>
  </colBreaks>
  <extLst>
    <ext xmlns:x14="http://schemas.microsoft.com/office/spreadsheetml/2009/9/main" uri="{CCE6A557-97BC-4b89-ADB6-D9C93CAAB3DF}">
      <x14:dataValidations xmlns:xm="http://schemas.microsoft.com/office/excel/2006/main" count="33">
        <x14:dataValidation type="list" allowBlank="1" showInputMessage="1" showErrorMessage="1" promptTitle="Level Of Assurance" prompt="Please indicate the LOA required for your application. _x000a_Several attributes are only available for LOA2 and LOA3 applications._x000a_" xr:uid="{5056DE01-1A29-824E-B387-26EEF3D276CD}">
          <x14:formula1>
            <xm:f>Reference!$H$3:$H$5</xm:f>
          </x14:formula1>
          <xm:sqref>D25:H25</xm:sqref>
        </x14:dataValidation>
        <x14:dataValidation type="list" allowBlank="1" showInputMessage="1" showErrorMessage="1" xr:uid="{E35B5021-95E0-A34C-8028-BF8CDF8C2B98}">
          <x14:formula1>
            <xm:f>Reference!$Y$3:$Y$4</xm:f>
          </x14:formula1>
          <xm:sqref>D43:H43</xm:sqref>
        </x14:dataValidation>
        <x14:dataValidation type="list" allowBlank="1" showInputMessage="1" showErrorMessage="1" promptTitle="Application Type" prompt="Confidential: Encrypted communication IS required._x000a_Public: Encrypted communication IS NOT required." xr:uid="{C17B438B-EAAD-9842-9FE9-C271B5C6AACA}">
          <x14:formula1>
            <xm:f>Reference!$U$3:$U$4</xm:f>
          </x14:formula1>
          <xm:sqref>D24:H24</xm:sqref>
        </x14:dataValidation>
        <x14:dataValidation type="list" allowBlank="1" showInputMessage="1" showErrorMessage="1" xr:uid="{6C5C70AA-931E-E54A-B0F2-454DACF38333}">
          <x14:formula1>
            <xm:f>Reference!$W$3:$W$5</xm:f>
          </x14:formula1>
          <xm:sqref>D40:H40</xm:sqref>
        </x14:dataValidation>
        <x14:dataValidation type="list" allowBlank="1" showInputMessage="1" showErrorMessage="1" promptTitle="Edit Profile" prompt="Select Yes for the Edit Profile link to be passed to the RP after a successful authentication._x000a__x000a_The Edit Profile link can be used to send users back to their NSLS My Account page." xr:uid="{42CDD308-9C83-604C-89DD-D34FC5D0B7BD}">
          <x14:formula1>
            <xm:f>Reference!$S$3:$S$4</xm:f>
          </x14:formula1>
          <xm:sqref>F36:H36</xm:sqref>
        </x14:dataValidation>
        <x14:dataValidation type="list" allowBlank="1" showInputMessage="1" showErrorMessage="1" promptTitle="Role" prompt="Select Yes for the Role to be passed to the RP after a successful authentication._x000a__x000a_The Role is an optional field for Group enrolment. The user may have multiple roles if they are members of multiple groups." xr:uid="{C9E05CCF-4111-D444-A0A2-D41E1E6D6D62}">
          <x14:formula1>
            <xm:f>Reference!$S$3:$S$4</xm:f>
          </x14:formula1>
          <xm:sqref>F35:H35</xm:sqref>
        </x14:dataValidation>
        <x14:dataValidation type="list" allowBlank="1" showInputMessage="1" showErrorMessage="1" promptTitle="Email" prompt="Select Yes for the Email to be passed to the RP after a successful authentication._x000a__x000a_Email is mandatory for all users." xr:uid="{EF24A050-E957-F042-B07E-495197AFEE1F}">
          <x14:formula1>
            <xm:f>Reference!$S$3:$S$4</xm:f>
          </x14:formula1>
          <xm:sqref>F34:H34</xm:sqref>
        </x14:dataValidation>
        <x14:dataValidation type="list" allowBlank="1" showInputMessage="1" showErrorMessage="1" promptTitle="Last Name" prompt="Select Yes for the Last Name to be passed to the RP after a successful authentication._x000a__x000a_The Last Name is mandatory for all users." xr:uid="{463DB041-D78E-E440-94F8-CF3BAA4A7125}">
          <x14:formula1>
            <xm:f>Reference!$S$3:$S$4</xm:f>
          </x14:formula1>
          <xm:sqref>C36</xm:sqref>
        </x14:dataValidation>
        <x14:dataValidation type="list" allowBlank="1" showInputMessage="1" showErrorMessage="1" promptTitle="Middle Name" prompt="Select Yes for the Middle Name to be passed to the RP after a successful authentication._x000a__x000a_The Middle Name is optional for all users." xr:uid="{66DC019B-55AD-D74B-B00F-8FF23CD099ED}">
          <x14:formula1>
            <xm:f>Reference!$S$3:$S$4</xm:f>
          </x14:formula1>
          <xm:sqref>C35</xm:sqref>
        </x14:dataValidation>
        <x14:dataValidation type="list" allowBlank="1" showInputMessage="1" showErrorMessage="1" promptTitle="First Name" prompt="Select Yes for the First Name to be passed to the RP after a successful authentication._x000a__x000a_The First Name is mandatory for all users." xr:uid="{63846E8C-1F7C-5E48-ACC7-DE0BDB03252B}">
          <x14:formula1>
            <xm:f>Reference!$S$3:$S$4</xm:f>
          </x14:formula1>
          <xm:sqref>C34</xm:sqref>
        </x14:dataValidation>
        <x14:dataValidation type="list" errorStyle="information" allowBlank="1" showInputMessage="1" promptTitle="Select a date" prompt="Minimum 3 business days are required. The next 10 business days are displayed. _x000a__x000a_Please select the maximum amount of time allowed for the change." xr:uid="{4DA622F9-62D5-9744-A6F2-E71AD70E20A6}">
          <x14:formula1>
            <xm:f>Reference!$L$4:$L$15</xm:f>
          </x14:formula1>
          <xm:sqref>D8</xm:sqref>
        </x14:dataValidation>
        <x14:dataValidation type="list" errorStyle="information" allowBlank="1" showInputMessage="1" promptTitle="Select a date" prompt="The default date/time is based on the requested deployment date." xr:uid="{D33BBA40-87CE-0A4B-A0B5-A9E0BA10F177}">
          <x14:formula1>
            <xm:f>Reference!$L$4:$L$15</xm:f>
          </x14:formula1>
          <xm:sqref>D52</xm:sqref>
        </x14:dataValidation>
        <x14:dataValidation type="list" allowBlank="1" showInputMessage="1" promptTitle="Minute" prompt="The default date/time is based on the requested deployment date." xr:uid="{3B7BE2F1-F3A2-0C46-86BA-B16C0FEA3C53}">
          <x14:formula1>
            <xm:f>Reference!$O$4:$O$7</xm:f>
          </x14:formula1>
          <xm:sqref>F52</xm:sqref>
        </x14:dataValidation>
        <x14:dataValidation type="list" allowBlank="1" showInputMessage="1" showErrorMessage="1" promptTitle="Please select one." xr:uid="{7D9549E8-826F-F046-BE5F-4F1189868FB3}">
          <x14:formula1>
            <xm:f>Reference!$F$3:$F$4</xm:f>
          </x14:formula1>
          <xm:sqref>D22:H22</xm:sqref>
        </x14:dataValidation>
        <x14:dataValidation type="list" allowBlank="1" showInputMessage="1" showErrorMessage="1" promptTitle="Please select one:" prompt="Public Access: Any NSLS user can access the RP._x000a_Group Access Only: Only users invited through the IDM can access the RP._x000a_Both Public and Group Access: Any NSLS user can access the RP. Users can also be invited through the IDM." xr:uid="{4A1BC626-F620-234E-B32F-F93B57A8A971}">
          <x14:formula1>
            <xm:f>Reference!$D$3:$D$5</xm:f>
          </x14:formula1>
          <xm:sqref>D21:H21</xm:sqref>
        </x14:dataValidation>
        <x14:dataValidation type="list" allowBlank="1" showInputMessage="1" showErrorMessage="1" promptTitle="Please Select Certificate Type" prompt="One Signing and One Encryption Certificate is the default configuration._x000a__x000a_Dual Purpose Certificates should be selected when only one certificate will be used by the Relying Party." xr:uid="{B01D6179-7E9F-F749-9320-DD4101832B13}">
          <x14:formula1>
            <xm:f>Reference!$B$3:$B$5</xm:f>
          </x14:formula1>
          <xm:sqref>D42:H42</xm:sqref>
        </x14:dataValidation>
        <x14:dataValidation type="list" allowBlank="1" showInputMessage="1" showErrorMessage="1" promptTitle="Timezone" prompt="Select the timezone" xr:uid="{F25887CF-A913-3E4F-BE3B-0C161CEBD208}">
          <x14:formula1>
            <xm:f>Reference!$Q$4:$Q$5</xm:f>
          </x14:formula1>
          <xm:sqref>H8</xm:sqref>
        </x14:dataValidation>
        <x14:dataValidation type="list" allowBlank="1" showInputMessage="1" promptTitle="Timezone" prompt="The default date/time is based on the requested deployment date." xr:uid="{E77101C0-08E3-F443-BBAD-68E6FE2816EC}">
          <x14:formula1>
            <xm:f>Reference!$Q$4:$Q$5</xm:f>
          </x14:formula1>
          <xm:sqref>H52</xm:sqref>
        </x14:dataValidation>
        <x14:dataValidation type="list" allowBlank="1" showInputMessage="1" promptTitle="AM/PM" prompt="The default date/time is based on the requested deployment date." xr:uid="{8425F8BB-40A9-0F48-96D4-AB6600E4D6EF}">
          <x14:formula1>
            <xm:f>Reference!$P$4:$P$5</xm:f>
          </x14:formula1>
          <xm:sqref>G52</xm:sqref>
        </x14:dataValidation>
        <x14:dataValidation type="list" allowBlank="1" showInputMessage="1" promptTitle="Hour" prompt="The default date/time is based on the requested deployment date." xr:uid="{4529D780-2FEF-2F41-A92D-4E8FD83B6356}">
          <x14:formula1>
            <xm:f>Reference!$N$4:$N$15</xm:f>
          </x14:formula1>
          <xm:sqref>E52</xm:sqref>
        </x14:dataValidation>
        <x14:dataValidation type="list" allowBlank="1" showInputMessage="1" showErrorMessage="1" promptTitle="Authentication Source" prompt="Select Yes for the Authentication Source to be passed to the RP after a successful authentication._x000a__x000a_The Authentication Source identifies how the user logged in - whether he/she authenticated using an NSLS credential or ADFS credential." xr:uid="{8CCA4D04-1664-3D4F-A7F9-45452648B169}">
          <x14:formula1>
            <xm:f>Reference!$S$3:$S$4</xm:f>
          </x14:formula1>
          <xm:sqref>C37</xm:sqref>
        </x14:dataValidation>
        <x14:dataValidation type="list" allowBlank="1" showInputMessage="1" showErrorMessage="1" promptTitle="Please Select the Environment" prompt="TEST is for all test applications (UAT, QA, DEV)._x000a_PROD is the production environment." xr:uid="{36CAF702-8BDC-4C43-BD32-682CF94CE282}">
          <x14:formula1>
            <xm:f>Reference!$J$3:$J$4</xm:f>
          </x14:formula1>
          <xm:sqref>D7</xm:sqref>
        </x14:dataValidation>
        <x14:dataValidation type="list" errorStyle="information" allowBlank="1" showInputMessage="1" promptTitle="Connectivity Call Required" prompt="For Metadata Refreshes in the PROD Environment, it is recommended that a conference call be set up to provide immediate validation." xr:uid="{768FC7D1-0C1A-1D41-AF0C-AB4F82137BB4}">
          <x14:formula1>
            <xm:f>Reference!$S$3:$S$4</xm:f>
          </x14:formula1>
          <xm:sqref>D9:H9</xm:sqref>
        </x14:dataValidation>
        <x14:dataValidation type="list" allowBlank="1" showInputMessage="1" showErrorMessage="1" promptTitle="AM/PM" prompt="Select AM or PM" xr:uid="{F1BA0F58-B9CF-0441-AECE-CBBD6BD2D3B1}">
          <x14:formula1>
            <xm:f>Reference!$P$4:$P$5</xm:f>
          </x14:formula1>
          <xm:sqref>G8</xm:sqref>
        </x14:dataValidation>
        <x14:dataValidation type="list" allowBlank="1" showInputMessage="1" showErrorMessage="1" promptTitle="Minute" prompt="Select the minute" xr:uid="{0A59D72D-2175-644A-980B-BE06F56D9354}">
          <x14:formula1>
            <xm:f>Reference!$O$4:$O$7</xm:f>
          </x14:formula1>
          <xm:sqref>F8</xm:sqref>
        </x14:dataValidation>
        <x14:dataValidation type="list" allowBlank="1" showInputMessage="1" showErrorMessage="1" promptTitle="Hour" prompt="Select the hour" xr:uid="{9EF03D53-5B88-5E41-AD44-DABCDB6646C4}">
          <x14:formula1>
            <xm:f>Reference!$N$4:$N$15</xm:f>
          </x14:formula1>
          <xm:sqref>E8</xm:sqref>
        </x14:dataValidation>
        <x14:dataValidation type="list" allowBlank="1" showInputMessage="1" promptTitle="Previous Deployments" prompt="Please list the environments you have successfully deployed in. To deploy in Production you are required to have succesffuly deployed in the Test environment. " xr:uid="{AAEAB584-B108-A34F-946E-A7E3FB75D242}">
          <x14:formula1>
            <xm:f>Reference!$D$13:$D$16</xm:f>
          </x14:formula1>
          <xm:sqref>D10:H10</xm:sqref>
        </x14:dataValidation>
        <x14:dataValidation type="list" allowBlank="1" showInputMessage="1" showErrorMessage="1" prompt="If you are not changing the IDP metadata version, please select &quot;MAINTAIN&quot;._x000a__x000a_If you are changing the IDP metadata version, please select &quot;ENABLE&quot;" xr:uid="{6DAC4B7D-2A62-D840-8BC1-95301DA9ED41}">
          <x14:formula1>
            <xm:f>Reference!$F$8:$F$9</xm:f>
          </x14:formula1>
          <xm:sqref>D26</xm:sqref>
        </x14:dataValidation>
        <x14:dataValidation type="list" allowBlank="1" showInputMessage="1" showErrorMessage="1" promptTitle="Authentication Sources" prompt="All - Users from any authentication can have access to the application._x000a_Restricted - Only users from selected authentication sources can have access to the application." xr:uid="{2D562588-D51F-C043-92E4-AA102A2DDE07}">
          <x14:formula1>
            <xm:f>Reference!$S$7:$S$8</xm:f>
          </x14:formula1>
          <xm:sqref>C28</xm:sqref>
        </x14:dataValidation>
        <x14:dataValidation type="list" allowBlank="1" showInputMessage="1" showErrorMessage="1" promptTitle="MyNSID Native Login" prompt="This will allow users with a MyNSID credential to access the application." xr:uid="{43C089B2-8F11-EE4D-90F6-84AFB0C88870}">
          <x14:formula1>
            <xm:f>Reference!$S$3:$S$4</xm:f>
          </x14:formula1>
          <xm:sqref>C29</xm:sqref>
        </x14:dataValidation>
        <x14:dataValidation type="list" allowBlank="1" showInputMessage="1" showErrorMessage="1" promptTitle="Account Creation Button" prompt="Disabling the account creation button will restrict access to non-invited users." xr:uid="{F8980407-DF17-5E4F-9D94-2CDC9F252EF3}">
          <x14:formula1>
            <xm:f>Reference!$S$3:$S$4</xm:f>
          </x14:formula1>
          <xm:sqref>F29:H29</xm:sqref>
        </x14:dataValidation>
        <x14:dataValidation type="list" allowBlank="1" showInputMessage="1" showErrorMessage="1" promptTitle="Gov ADFS" prompt="This will allow users belonging to the Government ADFS to access the application." xr:uid="{558BE0DB-8896-F54D-9329-A47BB4683B6A}">
          <x14:formula1>
            <xm:f>Reference!$S$3:$S$4</xm:f>
          </x14:formula1>
          <xm:sqref>C30</xm:sqref>
        </x14:dataValidation>
        <x14:dataValidation type="list" allowBlank="1" showInputMessage="1" showErrorMessage="1" promptTitle="Health ADFS" prompt="This will allow users belonging to the Health ADFS to access the application." xr:uid="{ECD25799-E9A1-5440-9C98-5E54133FD358}">
          <x14:formula1>
            <xm:f>Reference!$S$3:$S$4</xm:f>
          </x14:formula1>
          <xm:sqref>C31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F55E333E9653641A1B042117DE9B6ED" ma:contentTypeVersion="6" ma:contentTypeDescription="Create a new document." ma:contentTypeScope="" ma:versionID="79548151bca0e4e8c589a5c3ce8a0f90">
  <xsd:schema xmlns:xsd="http://www.w3.org/2001/XMLSchema" xmlns:xs="http://www.w3.org/2001/XMLSchema" xmlns:p="http://schemas.microsoft.com/office/2006/metadata/properties" xmlns:ns2="ed5c2c23-3d64-4088-8299-9a247c80c900" targetNamespace="http://schemas.microsoft.com/office/2006/metadata/properties" ma:root="true" ma:fieldsID="3b8609d605b82e22a9c1522c1b06dadc" ns2:_="">
    <xsd:import namespace="ed5c2c23-3d64-4088-8299-9a247c80c900"/>
    <xsd:element name="properties">
      <xsd:complexType>
        <xsd:sequence>
          <xsd:element name="documentManagement">
            <xsd:complexType>
              <xsd:all>
                <xsd:element ref="ns2:Topic" minOccurs="0"/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d5c2c23-3d64-4088-8299-9a247c80c900" elementFormDefault="qualified">
    <xsd:import namespace="http://schemas.microsoft.com/office/2006/documentManagement/types"/>
    <xsd:import namespace="http://schemas.microsoft.com/office/infopath/2007/PartnerControls"/>
    <xsd:element name="Topic" ma:index="4" nillable="true" ma:displayName="Topic" ma:internalName="Topic" ma:readOnly="false">
      <xsd:simpleType>
        <xsd:restriction base="dms:Text">
          <xsd:maxLength value="255"/>
        </xsd:restriction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5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opic xmlns="ed5c2c23-3d64-4088-8299-9a247c80c900" xsi:nil="true"/>
  </documentManagement>
</p:properties>
</file>

<file path=customXml/itemProps1.xml><?xml version="1.0" encoding="utf-8"?>
<ds:datastoreItem xmlns:ds="http://schemas.openxmlformats.org/officeDocument/2006/customXml" ds:itemID="{F82B2D38-A6AA-4D93-BDA3-3393B6DCBF9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F9E53B8-07BC-4137-894D-21AA2F7949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d5c2c23-3d64-4088-8299-9a247c80c9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5BB03F1-155C-4D39-BC6A-091C01FF5C4D}">
  <ds:schemaRefs>
    <ds:schemaRef ds:uri="ed5c2c23-3d64-4088-8299-9a247c80c900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Create New Form</vt:lpstr>
      <vt:lpstr>Reference</vt:lpstr>
      <vt:lpstr>CSR</vt:lpstr>
      <vt:lpstr>CON</vt:lpstr>
      <vt:lpstr>MDR</vt:lpstr>
      <vt:lpstr>CON!Print_Area</vt:lpstr>
      <vt:lpstr>MDR!Print_Area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Duff, Scott</dc:creator>
  <cp:lastModifiedBy>Microsoft Office User</cp:lastModifiedBy>
  <dcterms:created xsi:type="dcterms:W3CDTF">2017-11-10T15:01:19Z</dcterms:created>
  <dcterms:modified xsi:type="dcterms:W3CDTF">2019-11-13T15:17:23Z</dcterms:modified>
</cp:coreProperties>
</file>