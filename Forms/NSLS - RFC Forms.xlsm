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vanschyndel/Desktop/"/>
    </mc:Choice>
  </mc:AlternateContent>
  <xr:revisionPtr revIDLastSave="0" documentId="13_ncr:1_{7A6EF481-088F-304C-8C5A-6F59CBE39C5F}" xr6:coauthVersionLast="45" xr6:coauthVersionMax="45" xr10:uidLastSave="{00000000-0000-0000-0000-000000000000}"/>
  <bookViews>
    <workbookView xWindow="28800" yWindow="-600" windowWidth="38400" windowHeight="19540" xr2:uid="{00000000-000D-0000-FFFF-FFFF00000000}"/>
  </bookViews>
  <sheets>
    <sheet name="Create New Form" sheetId="6" r:id="rId1"/>
    <sheet name="Reference" sheetId="4" state="hidden" r:id="rId2"/>
    <sheet name="CSR" sheetId="50" state="hidden" r:id="rId3"/>
    <sheet name="CON" sheetId="57" state="hidden" r:id="rId4"/>
    <sheet name="MDR" sheetId="58" state="hidden" r:id="rId5"/>
  </sheets>
  <functionGroups builtInGroupCount="19"/>
  <externalReferences>
    <externalReference r:id="rId6"/>
  </externalReferences>
  <definedNames>
    <definedName name="LOA" localSheetId="1">#REF!</definedName>
    <definedName name="_xlnm.Print_Area" localSheetId="3">CON!$A$1:$N$73</definedName>
    <definedName name="_xlnm.Print_Area" localSheetId="4">MDR!$A$1:$N$66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8" i="57" l="1"/>
  <c r="I46" i="58"/>
  <c r="I32" i="57" l="1"/>
  <c r="I32" i="58"/>
  <c r="L15" i="58" l="1"/>
  <c r="I23" i="58" l="1"/>
  <c r="I23" i="57"/>
  <c r="I24" i="57"/>
  <c r="I24" i="58"/>
  <c r="I43" i="58"/>
  <c r="I45" i="57"/>
  <c r="I47" i="57"/>
  <c r="I45" i="58"/>
  <c r="I50" i="58"/>
  <c r="I49" i="58"/>
  <c r="L14" i="58" l="1"/>
  <c r="L13" i="58"/>
  <c r="L12" i="58"/>
  <c r="L11" i="58"/>
  <c r="L11" i="57" l="1"/>
  <c r="L15" i="57"/>
  <c r="L14" i="57"/>
  <c r="L13" i="57"/>
  <c r="L12" i="57"/>
  <c r="I52" i="57" l="1"/>
  <c r="I51" i="57"/>
  <c r="I47" i="58" l="1"/>
  <c r="I49" i="57"/>
  <c r="I57" i="58" l="1"/>
  <c r="I56" i="58"/>
  <c r="I55" i="58"/>
  <c r="I54" i="58"/>
  <c r="I53" i="58"/>
  <c r="I52" i="58"/>
  <c r="I48" i="58"/>
  <c r="I44" i="58"/>
  <c r="I42" i="58"/>
  <c r="I37" i="58"/>
  <c r="I35" i="58"/>
  <c r="C31" i="58"/>
  <c r="C30" i="58"/>
  <c r="C29" i="58"/>
  <c r="I28" i="58"/>
  <c r="I27" i="58"/>
  <c r="I26" i="58"/>
  <c r="I25" i="58"/>
  <c r="I22" i="58"/>
  <c r="I21" i="58"/>
  <c r="I19" i="58"/>
  <c r="I18" i="58"/>
  <c r="I17" i="58"/>
  <c r="I14" i="58"/>
  <c r="I13" i="58"/>
  <c r="I9" i="58"/>
  <c r="I8" i="58"/>
  <c r="D7" i="58"/>
  <c r="I6" i="58"/>
  <c r="I5" i="58"/>
  <c r="I64" i="57"/>
  <c r="I63" i="57"/>
  <c r="I62" i="57"/>
  <c r="I61" i="57"/>
  <c r="I60" i="57"/>
  <c r="I59" i="57"/>
  <c r="I50" i="57"/>
  <c r="I46" i="57"/>
  <c r="I44" i="57"/>
  <c r="I39" i="57"/>
  <c r="I35" i="57"/>
  <c r="C31" i="57"/>
  <c r="C30" i="57"/>
  <c r="C29" i="57"/>
  <c r="F29" i="57" s="1"/>
  <c r="I28" i="57"/>
  <c r="I27" i="57"/>
  <c r="I26" i="57"/>
  <c r="I25" i="57"/>
  <c r="I22" i="57"/>
  <c r="I21" i="57"/>
  <c r="I19" i="57"/>
  <c r="I18" i="57"/>
  <c r="I17" i="57"/>
  <c r="I14" i="57"/>
  <c r="I13" i="57"/>
  <c r="I9" i="57"/>
  <c r="I8" i="57"/>
  <c r="D7" i="57"/>
  <c r="I6" i="57"/>
  <c r="I5" i="57"/>
  <c r="I7" i="58" l="1"/>
  <c r="I10" i="58"/>
  <c r="I57" i="57"/>
  <c r="I10" i="57"/>
  <c r="I29" i="57"/>
  <c r="I54" i="57"/>
  <c r="I7" i="57"/>
  <c r="F29" i="58"/>
  <c r="I29" i="58" s="1"/>
  <c r="I55" i="57"/>
  <c r="I56" i="57"/>
  <c r="I3" i="58" l="1"/>
  <c r="I3" i="57"/>
  <c r="E9" i="50"/>
  <c r="H16" i="6" l="1"/>
  <c r="F18" i="50"/>
  <c r="F15" i="50"/>
  <c r="F14" i="50"/>
  <c r="F13" i="50"/>
  <c r="F11" i="50"/>
  <c r="F10" i="50"/>
  <c r="F9" i="50"/>
  <c r="F8" i="50"/>
  <c r="F7" i="50"/>
  <c r="L3" i="4" l="1"/>
  <c r="L4" i="4" s="1"/>
  <c r="L5" i="4" s="1"/>
  <c r="L6" i="4" s="1"/>
  <c r="L7" i="4" l="1"/>
  <c r="L8" i="4" s="1"/>
  <c r="L9" i="4" s="1"/>
  <c r="L10" i="4" s="1"/>
  <c r="L11" i="4" s="1"/>
  <c r="L12" i="4" s="1"/>
  <c r="L13" i="4" s="1"/>
</calcChain>
</file>

<file path=xl/sharedStrings.xml><?xml version="1.0" encoding="utf-8"?>
<sst xmlns="http://schemas.openxmlformats.org/spreadsheetml/2006/main" count="227" uniqueCount="150">
  <si>
    <t>Nova Scotia Login Service (NSLS)</t>
  </si>
  <si>
    <t>Y/N</t>
  </si>
  <si>
    <t>Level of Assurance</t>
  </si>
  <si>
    <t>LOA1</t>
  </si>
  <si>
    <t>URGENT</t>
  </si>
  <si>
    <t>PROD</t>
  </si>
  <si>
    <t>One Dual Purpose Certificate</t>
  </si>
  <si>
    <t>TEST</t>
  </si>
  <si>
    <t>One Signing and One Encryption Certificate</t>
  </si>
  <si>
    <t>Date</t>
  </si>
  <si>
    <t>Environment</t>
  </si>
  <si>
    <t>Certificate Types</t>
  </si>
  <si>
    <t>Environment:</t>
  </si>
  <si>
    <t>:45</t>
  </si>
  <si>
    <t>:30</t>
  </si>
  <si>
    <t>PM</t>
  </si>
  <si>
    <t>:15</t>
  </si>
  <si>
    <t>No</t>
  </si>
  <si>
    <t>AM</t>
  </si>
  <si>
    <t>:00</t>
  </si>
  <si>
    <t>Yes</t>
  </si>
  <si>
    <t>AM/PM</t>
  </si>
  <si>
    <t>Minutes</t>
  </si>
  <si>
    <t>Hours</t>
  </si>
  <si>
    <t>Time</t>
  </si>
  <si>
    <t>Dept/Agency Name:</t>
  </si>
  <si>
    <t>Online Application:</t>
  </si>
  <si>
    <t>Certificate Type:</t>
  </si>
  <si>
    <t>Email:</t>
  </si>
  <si>
    <t>Invitation Model</t>
  </si>
  <si>
    <t>Both Public and Group Access</t>
  </si>
  <si>
    <t>Public Access</t>
  </si>
  <si>
    <t>SAML or OIDC</t>
  </si>
  <si>
    <t>OIDC</t>
  </si>
  <si>
    <t>SAML</t>
  </si>
  <si>
    <t></t>
  </si>
  <si>
    <t>TBD</t>
  </si>
  <si>
    <t>Checklist</t>
  </si>
  <si>
    <t>Zone</t>
  </si>
  <si>
    <t>AST</t>
  </si>
  <si>
    <t>EST</t>
  </si>
  <si>
    <t>App Type</t>
  </si>
  <si>
    <t>File Type</t>
  </si>
  <si>
    <t>.XML</t>
  </si>
  <si>
    <t>.TXT</t>
  </si>
  <si>
    <t>.JSON</t>
  </si>
  <si>
    <t>Signed/Unsigned</t>
  </si>
  <si>
    <t>Signed</t>
  </si>
  <si>
    <t>Un-Signed</t>
  </si>
  <si>
    <t>Public</t>
  </si>
  <si>
    <t>Confidential</t>
  </si>
  <si>
    <t>None</t>
  </si>
  <si>
    <t>Form Type</t>
  </si>
  <si>
    <t>UAT</t>
  </si>
  <si>
    <t>CSR Workbook</t>
  </si>
  <si>
    <t>Due Date:</t>
  </si>
  <si>
    <t>The point of contact for verification of this CSR is:</t>
  </si>
  <si>
    <t>Name: </t>
  </si>
  <si>
    <t>Phone: </t>
  </si>
  <si>
    <t>Cell: </t>
  </si>
  <si>
    <t>Best time to be contacted:</t>
  </si>
  <si>
    <t>Select Form Type:</t>
  </si>
  <si>
    <t>DEV</t>
  </si>
  <si>
    <t>QA</t>
  </si>
  <si>
    <t>Select Environment:</t>
  </si>
  <si>
    <t>Application Name:</t>
  </si>
  <si>
    <t>RP Connectivity Form (CON)</t>
  </si>
  <si>
    <t>Metadata Refresh Form (MDR)</t>
  </si>
  <si>
    <t>Certificate Signing Request Form (CSR)</t>
  </si>
  <si>
    <t>LOA2</t>
  </si>
  <si>
    <t>LOA3</t>
  </si>
  <si>
    <t>Important Note: This document contains a macro "Create Form". This macro is used to generate a copy of the requested form from the templates.</t>
  </si>
  <si>
    <t>Group Access Only</t>
  </si>
  <si>
    <r>
      <t>Dept/Agency:</t>
    </r>
    <r>
      <rPr>
        <sz val="18"/>
        <rFont val="Calibri"/>
        <family val="2"/>
        <scheme val="minor"/>
      </rPr>
      <t> </t>
    </r>
  </si>
  <si>
    <t>To create a request form: 
   Select the type of request you are submitting
   Select the Environment
   Enter the name of your application
   Click 'Create Form'</t>
  </si>
  <si>
    <t>IDP Metadata Version</t>
  </si>
  <si>
    <t>MAINTAIN</t>
  </si>
  <si>
    <t>Choice</t>
  </si>
  <si>
    <t>ENABLE</t>
  </si>
  <si>
    <t>Access</t>
  </si>
  <si>
    <t>All</t>
  </si>
  <si>
    <t>Restricted</t>
  </si>
  <si>
    <t xml:space="preserve">OIDC - IDP - Public </t>
  </si>
  <si>
    <t xml:space="preserve">OIDC - IDP - Confidential </t>
  </si>
  <si>
    <t xml:space="preserve">SAML - IDP - SOAP </t>
  </si>
  <si>
    <t xml:space="preserve">SAML - IDP - Redirect </t>
  </si>
  <si>
    <t xml:space="preserve">SAML - SP </t>
  </si>
  <si>
    <t>TYPE</t>
  </si>
  <si>
    <t>Summary</t>
  </si>
  <si>
    <t>RP Connectivity Workbook</t>
  </si>
  <si>
    <t>1. RFC Information</t>
  </si>
  <si>
    <t>Requested Date/Time:</t>
  </si>
  <si>
    <t>Connectivity Call Required:</t>
  </si>
  <si>
    <t>Previous Deployments:</t>
  </si>
  <si>
    <t>2. RP Contact Information</t>
  </si>
  <si>
    <t>Technical Contact - Main</t>
  </si>
  <si>
    <t>Name:</t>
  </si>
  <si>
    <t>Phone:</t>
  </si>
  <si>
    <t>Technical Contact - Backup</t>
  </si>
  <si>
    <t>3. Application Information</t>
  </si>
  <si>
    <t>Invitation Model:</t>
  </si>
  <si>
    <t>Protocol Type:</t>
  </si>
  <si>
    <t>Application URL:</t>
  </si>
  <si>
    <t>Application Type:</t>
  </si>
  <si>
    <t>LOA Requirements:</t>
  </si>
  <si>
    <t>IDP Metadata Version:</t>
  </si>
  <si>
    <t>Affiliation:</t>
  </si>
  <si>
    <t>Enabled Authentication Sources:</t>
  </si>
  <si>
    <t>MyNSID Native Login</t>
  </si>
  <si>
    <t>Account Creation Enabled:</t>
  </si>
  <si>
    <t>Gov ADFS</t>
  </si>
  <si>
    <t>Health ADFS</t>
  </si>
  <si>
    <t>You cannot access &lt;service name&gt; with this account. Try a different account or call &lt;help desk number&gt; for support.</t>
  </si>
  <si>
    <t>LOA 1 Attributes to be passed</t>
  </si>
  <si>
    <t>First Name:</t>
  </si>
  <si>
    <t>Middle Name:</t>
  </si>
  <si>
    <t>Role:</t>
  </si>
  <si>
    <t>Last Name:</t>
  </si>
  <si>
    <t>Edit Profile URL:</t>
  </si>
  <si>
    <t>Authentication Source:</t>
  </si>
  <si>
    <t>4. Metadata</t>
  </si>
  <si>
    <t>File Name:</t>
  </si>
  <si>
    <t>File Type:</t>
  </si>
  <si>
    <t>Entity ID (SAML) / Client ID (OIDC):</t>
  </si>
  <si>
    <t>Signed or Un-Signed:</t>
  </si>
  <si>
    <t>5. Capacity Forecast (Production Only)</t>
  </si>
  <si>
    <t>User Community:</t>
  </si>
  <si>
    <t>Estimated User Count:</t>
  </si>
  <si>
    <t>Peak Hours:</t>
  </si>
  <si>
    <t>Peak Periods:</t>
  </si>
  <si>
    <t>6. Connectivity Call Details:</t>
  </si>
  <si>
    <t>Participant(s):</t>
  </si>
  <si>
    <r>
      <t>Dept/Agency:</t>
    </r>
    <r>
      <rPr>
        <sz val="16"/>
        <rFont val="Calibri"/>
        <family val="2"/>
        <scheme val="minor"/>
      </rPr>
      <t> </t>
    </r>
  </si>
  <si>
    <t>Bridge Number: </t>
  </si>
  <si>
    <t>Meeting ID: </t>
  </si>
  <si>
    <t>Passcode:</t>
  </si>
  <si>
    <t>Con. Call Date/Time:</t>
  </si>
  <si>
    <t>Other Notes</t>
  </si>
  <si>
    <t>Other Information:</t>
  </si>
  <si>
    <t>Affilitiation:</t>
  </si>
  <si>
    <t>Accout Creation Enabled:</t>
  </si>
  <si>
    <t>Attributes to be passed</t>
  </si>
  <si>
    <t>5. Connectivity Call Details:</t>
  </si>
  <si>
    <t>Vous ne pouvez pas accéder à &lt;service name&gt; avec ce compte. Essayez un autre compte, ou appelez &lt;help desk number&gt; pour obtenir de l'aide.</t>
  </si>
  <si>
    <t>English Service Name:</t>
  </si>
  <si>
    <t>French Service Name:</t>
  </si>
  <si>
    <t>English Service Description:</t>
  </si>
  <si>
    <t>French Service Description:</t>
  </si>
  <si>
    <t>English Access Denied Error Message:</t>
  </si>
  <si>
    <t>French Access Denied Error Message: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</si>
</sst>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Calibri"/>
      <family val="2"/>
      <scheme val="minor"/>
    </font>
    <font>
      <sz val="1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67">
    <xf numFmtId="0" fontId="0" fillId="0" borderId="0" xfId="0"/>
    <xf numFmtId="0" fontId="4" fillId="4" borderId="3" xfId="0" applyFont="1" applyFill="1" applyBorder="1" applyAlignment="1">
      <alignment horizontal="center"/>
    </xf>
    <xf numFmtId="0" fontId="4" fillId="0" borderId="9" xfId="0" applyFont="1" applyBorder="1"/>
    <xf numFmtId="0" fontId="3" fillId="2" borderId="8" xfId="0" applyFont="1" applyFill="1" applyBorder="1" applyAlignment="1">
      <alignment horizontal="right"/>
    </xf>
    <xf numFmtId="14" fontId="2" fillId="0" borderId="12" xfId="0" applyNumberFormat="1" applyFont="1" applyBorder="1" applyAlignment="1">
      <alignment horizontal="center"/>
    </xf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 applyAlignment="1">
      <alignment horizontal="right"/>
    </xf>
    <xf numFmtId="0" fontId="2" fillId="2" borderId="9" xfId="0" applyFont="1" applyFill="1" applyBorder="1" applyAlignment="1">
      <alignment horizontal="right"/>
    </xf>
    <xf numFmtId="0" fontId="7" fillId="2" borderId="0" xfId="0" applyFont="1" applyFill="1"/>
    <xf numFmtId="0" fontId="8" fillId="5" borderId="3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7" fillId="5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0" xfId="0" applyFont="1"/>
    <xf numFmtId="0" fontId="12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right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8" fontId="0" fillId="0" borderId="0" xfId="0" applyNumberFormat="1" applyFont="1"/>
    <xf numFmtId="14" fontId="0" fillId="0" borderId="0" xfId="0" applyNumberFormat="1" applyFont="1"/>
    <xf numFmtId="0" fontId="0" fillId="2" borderId="3" xfId="0" applyFont="1" applyFill="1" applyBorder="1" applyAlignment="1">
      <alignment horizontal="center"/>
    </xf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3" xfId="0" applyFont="1" applyBorder="1"/>
    <xf numFmtId="164" fontId="0" fillId="3" borderId="3" xfId="0" applyNumberFormat="1" applyFont="1" applyFill="1" applyBorder="1"/>
    <xf numFmtId="20" fontId="0" fillId="2" borderId="3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64" fontId="0" fillId="0" borderId="3" xfId="0" applyNumberFormat="1" applyFont="1" applyBorder="1"/>
    <xf numFmtId="0" fontId="0" fillId="0" borderId="3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ont="1" applyFill="1" applyBorder="1"/>
    <xf numFmtId="14" fontId="0" fillId="0" borderId="3" xfId="0" applyNumberFormat="1" applyFont="1" applyBorder="1" applyAlignment="1">
      <alignment horizontal="center"/>
    </xf>
    <xf numFmtId="20" fontId="0" fillId="0" borderId="0" xfId="0" applyNumberFormat="1" applyFont="1"/>
    <xf numFmtId="0" fontId="0" fillId="2" borderId="0" xfId="0" applyFont="1" applyFill="1"/>
    <xf numFmtId="0" fontId="0" fillId="0" borderId="0" xfId="0" applyNumberFormat="1" applyFont="1"/>
    <xf numFmtId="0" fontId="2" fillId="0" borderId="4" xfId="0" applyFont="1" applyBorder="1" applyAlignment="1">
      <alignment horizontal="center"/>
    </xf>
    <xf numFmtId="0" fontId="0" fillId="0" borderId="3" xfId="0" applyBorder="1"/>
    <xf numFmtId="0" fontId="14" fillId="2" borderId="1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5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0" fontId="0" fillId="2" borderId="3" xfId="0" applyFill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7" fillId="3" borderId="9" xfId="0" applyFont="1" applyFill="1" applyBorder="1" applyAlignment="1">
      <alignment horizontal="right"/>
    </xf>
    <xf numFmtId="0" fontId="17" fillId="3" borderId="10" xfId="0" applyFont="1" applyFill="1" applyBorder="1"/>
    <xf numFmtId="0" fontId="17" fillId="3" borderId="11" xfId="0" applyFont="1" applyFill="1" applyBorder="1"/>
    <xf numFmtId="0" fontId="17" fillId="3" borderId="12" xfId="0" applyFont="1" applyFill="1" applyBorder="1"/>
    <xf numFmtId="0" fontId="17" fillId="3" borderId="7" xfId="0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17" fillId="3" borderId="20" xfId="0" applyFont="1" applyFill="1" applyBorder="1"/>
    <xf numFmtId="0" fontId="17" fillId="3" borderId="0" xfId="0" applyFont="1" applyFill="1"/>
    <xf numFmtId="0" fontId="17" fillId="3" borderId="21" xfId="0" applyFont="1" applyFill="1" applyBorder="1"/>
    <xf numFmtId="0" fontId="18" fillId="0" borderId="0" xfId="0" applyFont="1" applyAlignment="1">
      <alignment vertical="top" wrapText="1"/>
    </xf>
    <xf numFmtId="0" fontId="2" fillId="0" borderId="7" xfId="0" applyFont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64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7" xfId="0" applyFont="1" applyBorder="1" applyAlignment="1">
      <alignment horizontal="left"/>
    </xf>
    <xf numFmtId="0" fontId="20" fillId="0" borderId="0" xfId="0" applyFont="1"/>
    <xf numFmtId="0" fontId="17" fillId="3" borderId="5" xfId="0" applyFont="1" applyFill="1" applyBorder="1"/>
    <xf numFmtId="0" fontId="17" fillId="3" borderId="19" xfId="0" applyFont="1" applyFill="1" applyBorder="1"/>
    <xf numFmtId="0" fontId="17" fillId="3" borderId="6" xfId="0" applyFont="1" applyFill="1" applyBorder="1"/>
    <xf numFmtId="0" fontId="1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1" fillId="0" borderId="0" xfId="0" applyFont="1" applyAlignment="1">
      <alignment horizontal="left" vertical="top" wrapText="1"/>
    </xf>
    <xf numFmtId="49" fontId="0" fillId="0" borderId="0" xfId="0" applyNumberFormat="1" applyFont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17" fillId="3" borderId="3" xfId="0" applyFont="1" applyFill="1" applyBorder="1" applyAlignment="1">
      <alignment horizontal="right" vertical="top"/>
    </xf>
    <xf numFmtId="0" fontId="7" fillId="0" borderId="3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3" borderId="7" xfId="0" applyFont="1" applyFill="1" applyBorder="1" applyAlignment="1">
      <alignment horizontal="right"/>
    </xf>
    <xf numFmtId="14" fontId="2" fillId="0" borderId="7" xfId="0" applyNumberFormat="1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19" xfId="0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/>
    </xf>
    <xf numFmtId="0" fontId="17" fillId="3" borderId="9" xfId="0" applyFont="1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1" fillId="0" borderId="8" xfId="0" applyFont="1" applyBorder="1" applyAlignment="1">
      <alignment horizontal="center" vertical="center"/>
    </xf>
    <xf numFmtId="0" fontId="17" fillId="3" borderId="7" xfId="0" applyFont="1" applyFill="1" applyBorder="1" applyAlignment="1">
      <alignment horizontal="right"/>
    </xf>
    <xf numFmtId="0" fontId="2" fillId="0" borderId="7" xfId="0" applyFont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right"/>
    </xf>
    <xf numFmtId="0" fontId="17" fillId="3" borderId="4" xfId="0" applyFont="1" applyFill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7" fillId="3" borderId="3" xfId="0" applyFont="1" applyFill="1" applyBorder="1" applyAlignment="1">
      <alignment horizontal="right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right"/>
    </xf>
    <xf numFmtId="0" fontId="17" fillId="3" borderId="9" xfId="0" applyFont="1" applyFill="1" applyBorder="1" applyAlignment="1">
      <alignment horizontal="right" vertical="center"/>
    </xf>
    <xf numFmtId="0" fontId="17" fillId="3" borderId="3" xfId="0" applyFont="1" applyFill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7" fillId="3" borderId="10" xfId="0" applyFont="1" applyFill="1" applyBorder="1" applyAlignment="1">
      <alignment horizontal="right" vertical="top"/>
    </xf>
    <xf numFmtId="0" fontId="17" fillId="3" borderId="12" xfId="0" applyFont="1" applyFill="1" applyBorder="1" applyAlignment="1">
      <alignment horizontal="right" vertical="top"/>
    </xf>
    <xf numFmtId="0" fontId="17" fillId="3" borderId="20" xfId="0" applyFont="1" applyFill="1" applyBorder="1" applyAlignment="1">
      <alignment horizontal="right" vertical="top"/>
    </xf>
    <xf numFmtId="0" fontId="17" fillId="3" borderId="21" xfId="0" applyFont="1" applyFill="1" applyBorder="1" applyAlignment="1">
      <alignment horizontal="right" vertical="top"/>
    </xf>
    <xf numFmtId="0" fontId="17" fillId="3" borderId="5" xfId="0" applyFont="1" applyFill="1" applyBorder="1" applyAlignment="1">
      <alignment horizontal="right" vertical="top"/>
    </xf>
    <xf numFmtId="0" fontId="17" fillId="3" borderId="6" xfId="0" applyFont="1" applyFill="1" applyBorder="1" applyAlignment="1">
      <alignment horizontal="right" vertical="top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2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2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19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17" fillId="3" borderId="1" xfId="0" applyFont="1" applyFill="1" applyBorder="1" applyAlignment="1">
      <alignment horizontal="right" vertical="top"/>
    </xf>
    <xf numFmtId="0" fontId="17" fillId="3" borderId="4" xfId="0" applyFont="1" applyFill="1" applyBorder="1" applyAlignment="1">
      <alignment horizontal="right" vertical="top"/>
    </xf>
    <xf numFmtId="0" fontId="7" fillId="0" borderId="1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</cellXfs>
  <cellStyles count="1">
    <cellStyle name="Normal" xfId="0" builtinId="0"/>
  </cellStyles>
  <dxfs count="315"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165100</xdr:rowOff>
        </xdr:from>
        <xdr:to>
          <xdr:col>7</xdr:col>
          <xdr:colOff>1879600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vanschyndel/Downloads/2.5%20NSLS%20RFC%20Forms_vNov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ate New Form"/>
      <sheetName val="Reference"/>
      <sheetName val="CSR"/>
      <sheetName val="CON"/>
      <sheetName val="MDR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Perry.Hamilton@novascotia.ca" TargetMode="External"/><Relationship Id="rId1" Type="http://schemas.openxmlformats.org/officeDocument/2006/relationships/hyperlink" Target="tel:(902)%20667-628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CB46-273A-2E4D-83A5-EA4FB6EC5DAD}">
  <sheetPr codeName="Sheet2"/>
  <dimension ref="B1:I31"/>
  <sheetViews>
    <sheetView showGridLines="0" tabSelected="1" zoomScaleNormal="100" workbookViewId="0">
      <pane xSplit="16" ySplit="54" topLeftCell="Q55" activePane="bottomRight" state="frozen"/>
      <selection pane="topRight" activeCell="Q1" sqref="Q1"/>
      <selection pane="bottomLeft" activeCell="A58" sqref="A58"/>
      <selection pane="bottomRight" activeCell="M30" sqref="M30"/>
    </sheetView>
  </sheetViews>
  <sheetFormatPr baseColWidth="10" defaultColWidth="10.83203125" defaultRowHeight="15" x14ac:dyDescent="0.2"/>
  <cols>
    <col min="1" max="1" width="10.83203125" style="14"/>
    <col min="2" max="2" width="43.6640625" style="14" hidden="1" customWidth="1"/>
    <col min="3" max="3" width="5.33203125" style="14" customWidth="1"/>
    <col min="4" max="4" width="55.83203125" style="14" customWidth="1"/>
    <col min="5" max="5" width="29.6640625" style="14" customWidth="1"/>
    <col min="6" max="6" width="58.33203125" style="14" customWidth="1"/>
    <col min="7" max="7" width="10.83203125" style="14"/>
    <col min="8" max="8" width="24.83203125" style="14" customWidth="1"/>
    <col min="9" max="16384" width="10.83203125" style="14"/>
  </cols>
  <sheetData>
    <row r="1" spans="3:9" hidden="1" x14ac:dyDescent="0.2"/>
    <row r="2" spans="3:9" hidden="1" x14ac:dyDescent="0.2"/>
    <row r="3" spans="3:9" hidden="1" x14ac:dyDescent="0.2"/>
    <row r="4" spans="3:9" hidden="1" x14ac:dyDescent="0.2"/>
    <row r="5" spans="3:9" hidden="1" x14ac:dyDescent="0.2"/>
    <row r="6" spans="3:9" hidden="1" x14ac:dyDescent="0.2"/>
    <row r="7" spans="3:9" hidden="1" x14ac:dyDescent="0.2"/>
    <row r="8" spans="3:9" hidden="1" x14ac:dyDescent="0.2"/>
    <row r="9" spans="3:9" hidden="1" x14ac:dyDescent="0.2"/>
    <row r="10" spans="3:9" hidden="1" x14ac:dyDescent="0.2"/>
    <row r="11" spans="3:9" hidden="1" x14ac:dyDescent="0.2"/>
    <row r="12" spans="3:9" hidden="1" x14ac:dyDescent="0.2"/>
    <row r="13" spans="3:9" ht="123" customHeight="1" x14ac:dyDescent="0.25">
      <c r="E13" s="74" t="s">
        <v>74</v>
      </c>
      <c r="F13" s="75"/>
    </row>
    <row r="14" spans="3:9" x14ac:dyDescent="0.2">
      <c r="C14" s="79"/>
      <c r="D14" s="79"/>
      <c r="E14" s="79"/>
      <c r="F14" s="79"/>
      <c r="G14" s="79"/>
      <c r="H14" s="79"/>
      <c r="I14" s="79"/>
    </row>
    <row r="15" spans="3:9" ht="21" x14ac:dyDescent="0.25">
      <c r="C15" s="79"/>
      <c r="D15" s="35"/>
      <c r="E15" s="35"/>
      <c r="F15" s="35"/>
      <c r="G15" s="35"/>
      <c r="H15" s="8"/>
      <c r="I15" s="79"/>
    </row>
    <row r="16" spans="3:9" ht="24" x14ac:dyDescent="0.3">
      <c r="C16" s="79"/>
      <c r="D16" s="10" t="s">
        <v>61</v>
      </c>
      <c r="E16" s="10" t="s">
        <v>64</v>
      </c>
      <c r="F16" s="10" t="s">
        <v>65</v>
      </c>
      <c r="G16" s="35"/>
      <c r="H16" s="11" t="str">
        <f>IF(D17 = "", "INCOMPLETE", IF( E17 = "", "INCOMPLETE", IF(F17 = "", "INCOMPLETE", "COMPLETE")))</f>
        <v>INCOMPLETE</v>
      </c>
      <c r="I16" s="79"/>
    </row>
    <row r="17" spans="3:9" ht="37" customHeight="1" x14ac:dyDescent="0.25">
      <c r="C17" s="79"/>
      <c r="D17" s="9"/>
      <c r="E17" s="9"/>
      <c r="F17" s="9"/>
      <c r="G17" s="35"/>
      <c r="H17" s="8"/>
      <c r="I17" s="79"/>
    </row>
    <row r="18" spans="3:9" x14ac:dyDescent="0.2">
      <c r="C18" s="79"/>
      <c r="D18" s="78"/>
      <c r="E18" s="78"/>
      <c r="F18" s="78"/>
      <c r="G18" s="35"/>
      <c r="H18" s="35"/>
      <c r="I18" s="79"/>
    </row>
    <row r="19" spans="3:9" x14ac:dyDescent="0.2">
      <c r="C19" s="79"/>
      <c r="D19" s="79"/>
      <c r="E19" s="79"/>
      <c r="F19" s="79"/>
      <c r="G19" s="35"/>
      <c r="H19" s="35"/>
      <c r="I19" s="79"/>
    </row>
    <row r="20" spans="3:9" x14ac:dyDescent="0.2">
      <c r="C20" s="79"/>
      <c r="D20" s="79"/>
      <c r="E20" s="79"/>
      <c r="F20" s="79"/>
      <c r="G20" s="35"/>
      <c r="H20" s="35"/>
      <c r="I20" s="79"/>
    </row>
    <row r="22" spans="3:9" x14ac:dyDescent="0.2">
      <c r="D22" s="77"/>
      <c r="E22" s="77"/>
      <c r="F22" s="77"/>
      <c r="G22" s="77"/>
      <c r="H22" s="77"/>
    </row>
    <row r="23" spans="3:9" ht="15" customHeight="1" x14ac:dyDescent="0.2">
      <c r="D23" s="76" t="s">
        <v>71</v>
      </c>
      <c r="E23" s="76"/>
      <c r="F23" s="76"/>
      <c r="G23" s="76"/>
      <c r="H23" s="76"/>
    </row>
    <row r="24" spans="3:9" x14ac:dyDescent="0.2">
      <c r="D24" s="76"/>
      <c r="E24" s="76"/>
      <c r="F24" s="76"/>
      <c r="G24" s="76"/>
      <c r="H24" s="76"/>
    </row>
    <row r="25" spans="3:9" x14ac:dyDescent="0.2">
      <c r="D25" s="76"/>
      <c r="E25" s="76"/>
      <c r="F25" s="76"/>
      <c r="G25" s="76"/>
      <c r="H25" s="76"/>
    </row>
    <row r="26" spans="3:9" x14ac:dyDescent="0.2">
      <c r="D26" s="76"/>
      <c r="E26" s="76"/>
      <c r="F26" s="76"/>
      <c r="G26" s="76"/>
      <c r="H26" s="76"/>
    </row>
    <row r="27" spans="3:9" x14ac:dyDescent="0.2">
      <c r="D27" s="76"/>
      <c r="E27" s="76"/>
      <c r="F27" s="76"/>
      <c r="G27" s="76"/>
      <c r="H27" s="76"/>
    </row>
    <row r="28" spans="3:9" x14ac:dyDescent="0.2">
      <c r="D28" s="76"/>
      <c r="E28" s="76"/>
      <c r="F28" s="76"/>
      <c r="G28" s="76"/>
      <c r="H28" s="76"/>
    </row>
    <row r="29" spans="3:9" x14ac:dyDescent="0.2">
      <c r="D29" s="76"/>
      <c r="E29" s="76"/>
      <c r="F29" s="76"/>
      <c r="G29" s="76"/>
      <c r="H29" s="76"/>
    </row>
    <row r="30" spans="3:9" x14ac:dyDescent="0.2">
      <c r="D30" s="76"/>
      <c r="E30" s="76"/>
      <c r="F30" s="76"/>
      <c r="G30" s="76"/>
      <c r="H30" s="76"/>
    </row>
    <row r="31" spans="3:9" x14ac:dyDescent="0.2">
      <c r="E31" s="36"/>
    </row>
  </sheetData>
  <sheetProtection formatCells="0"/>
  <mergeCells count="7">
    <mergeCell ref="E13:F13"/>
    <mergeCell ref="D23:H30"/>
    <mergeCell ref="D22:H22"/>
    <mergeCell ref="D18:F20"/>
    <mergeCell ref="C15:C20"/>
    <mergeCell ref="C14:I14"/>
    <mergeCell ref="I15:I20"/>
  </mergeCells>
  <conditionalFormatting sqref="H16">
    <cfRule type="cellIs" dxfId="314" priority="1" operator="equal">
      <formula>"COMPLETE"</formula>
    </cfRule>
    <cfRule type="cellIs" dxfId="313" priority="2" operator="equal">
      <formula>"INCOMPLETE"</formula>
    </cfRule>
  </conditionalFormatting>
  <pageMargins left="0.7" right="0.7" top="0.75" bottom="0.75" header="0.3" footer="0.3"/>
  <pageSetup fitToWidth="0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Form">
                <anchor moveWithCells="1" sizeWithCells="1">
                  <from>
                    <xdr:col>7</xdr:col>
                    <xdr:colOff>12700</xdr:colOff>
                    <xdr:row>16</xdr:row>
                    <xdr:rowOff>165100</xdr:rowOff>
                  </from>
                  <to>
                    <xdr:col>7</xdr:col>
                    <xdr:colOff>1879600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FD7C2-9AD4-C041-A25A-14F829CC897A}">
          <x14:formula1>
            <xm:f>Reference!$B$13:$B$15</xm:f>
          </x14:formula1>
          <xm:sqref>D17</xm:sqref>
        </x14:dataValidation>
        <x14:dataValidation type="list" allowBlank="1" showInputMessage="1" showErrorMessage="1" xr:uid="{33DFE588-AA7C-A84F-B19B-AE2FF899D1FC}">
          <x14:formula1>
            <xm:f>Reference!$J$3:$J$4</xm:f>
          </x14:formula1>
          <xm:sqref>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14E1-2CC8-9348-98F0-002D46CB07D9}">
  <sheetPr codeName="Sheet3"/>
  <dimension ref="A2:Y38"/>
  <sheetViews>
    <sheetView showGridLines="0" topLeftCell="E1" workbookViewId="0">
      <selection activeCell="E34" sqref="E34"/>
    </sheetView>
  </sheetViews>
  <sheetFormatPr baseColWidth="10" defaultColWidth="10.83203125" defaultRowHeight="15" x14ac:dyDescent="0.2"/>
  <cols>
    <col min="1" max="1" width="10.1640625" style="14" customWidth="1"/>
    <col min="2" max="2" width="64.1640625" style="14" customWidth="1"/>
    <col min="3" max="3" width="20.33203125" style="23" customWidth="1"/>
    <col min="4" max="4" width="65.33203125" style="14" customWidth="1"/>
    <col min="5" max="5" width="62.1640625" style="23" customWidth="1"/>
    <col min="6" max="6" width="47.5" style="14" customWidth="1"/>
    <col min="7" max="7" width="1.83203125" style="23" customWidth="1"/>
    <col min="8" max="8" width="14.6640625" style="14" bestFit="1" customWidth="1"/>
    <col min="9" max="9" width="1.83203125" style="23" customWidth="1"/>
    <col min="10" max="10" width="10.83203125" style="14"/>
    <col min="11" max="11" width="1.83203125" style="23" customWidth="1"/>
    <col min="12" max="12" width="25.83203125" style="14" bestFit="1" customWidth="1"/>
    <col min="13" max="13" width="1.83203125" style="23" customWidth="1"/>
    <col min="14" max="17" width="10.83203125" style="14"/>
    <col min="18" max="18" width="1.83203125" style="23" customWidth="1"/>
    <col min="19" max="19" width="10.83203125" style="14"/>
    <col min="20" max="20" width="1.83203125" style="14" customWidth="1"/>
    <col min="21" max="21" width="25.6640625" style="14" customWidth="1"/>
    <col min="22" max="22" width="1.83203125" style="14" customWidth="1"/>
    <col min="23" max="23" width="10.6640625" style="14" customWidth="1"/>
    <col min="24" max="24" width="2" style="14" customWidth="1"/>
    <col min="25" max="25" width="14.6640625" style="14" customWidth="1"/>
    <col min="26" max="16384" width="10.83203125" style="14"/>
  </cols>
  <sheetData>
    <row r="2" spans="2:25" s="24" customFormat="1" x14ac:dyDescent="0.2">
      <c r="B2" s="22" t="s">
        <v>11</v>
      </c>
      <c r="C2" s="23"/>
      <c r="D2" s="22" t="s">
        <v>29</v>
      </c>
      <c r="E2" s="23"/>
      <c r="F2" s="22" t="s">
        <v>32</v>
      </c>
      <c r="G2" s="23"/>
      <c r="H2" s="22" t="s">
        <v>2</v>
      </c>
      <c r="I2" s="23"/>
      <c r="J2" s="22" t="s">
        <v>10</v>
      </c>
      <c r="K2" s="23"/>
      <c r="L2" s="22" t="s">
        <v>9</v>
      </c>
      <c r="M2" s="23"/>
      <c r="N2" s="80" t="s">
        <v>24</v>
      </c>
      <c r="O2" s="81"/>
      <c r="P2" s="81"/>
      <c r="Q2" s="82"/>
      <c r="R2" s="23"/>
      <c r="S2" s="22" t="s">
        <v>1</v>
      </c>
      <c r="U2" s="22" t="s">
        <v>41</v>
      </c>
      <c r="W2" s="1" t="s">
        <v>42</v>
      </c>
      <c r="Y2" s="22" t="s">
        <v>46</v>
      </c>
    </row>
    <row r="3" spans="2:25" x14ac:dyDescent="0.2">
      <c r="B3" s="25" t="s">
        <v>8</v>
      </c>
      <c r="D3" s="25" t="s">
        <v>31</v>
      </c>
      <c r="F3" s="25" t="s">
        <v>34</v>
      </c>
      <c r="H3" s="25" t="s">
        <v>3</v>
      </c>
      <c r="J3" s="25" t="s">
        <v>7</v>
      </c>
      <c r="L3" s="26">
        <f ca="1" xml:space="preserve"> TODAY()</f>
        <v>44056</v>
      </c>
      <c r="N3" s="27" t="s">
        <v>23</v>
      </c>
      <c r="O3" s="22" t="s">
        <v>22</v>
      </c>
      <c r="P3" s="22" t="s">
        <v>21</v>
      </c>
      <c r="Q3" s="22" t="s">
        <v>38</v>
      </c>
      <c r="S3" s="28" t="s">
        <v>20</v>
      </c>
      <c r="U3" s="25" t="s">
        <v>50</v>
      </c>
      <c r="W3" s="2" t="s">
        <v>43</v>
      </c>
      <c r="Y3" s="25" t="s">
        <v>47</v>
      </c>
    </row>
    <row r="4" spans="2:25" x14ac:dyDescent="0.2">
      <c r="B4" s="25" t="s">
        <v>6</v>
      </c>
      <c r="D4" s="25" t="s">
        <v>72</v>
      </c>
      <c r="F4" s="25" t="s">
        <v>33</v>
      </c>
      <c r="H4" s="25" t="s">
        <v>69</v>
      </c>
      <c r="J4" s="25" t="s">
        <v>5</v>
      </c>
      <c r="L4" s="29">
        <f ca="1" xml:space="preserve"> WORKDAY(L3,4)</f>
        <v>44062</v>
      </c>
      <c r="N4" s="30">
        <v>1</v>
      </c>
      <c r="O4" s="31" t="s">
        <v>19</v>
      </c>
      <c r="P4" s="28" t="s">
        <v>18</v>
      </c>
      <c r="Q4" s="28" t="s">
        <v>39</v>
      </c>
      <c r="S4" s="28" t="s">
        <v>17</v>
      </c>
      <c r="U4" s="25" t="s">
        <v>49</v>
      </c>
      <c r="W4" s="2" t="s">
        <v>44</v>
      </c>
      <c r="Y4" s="25" t="s">
        <v>48</v>
      </c>
    </row>
    <row r="5" spans="2:25" x14ac:dyDescent="0.2">
      <c r="B5" s="25" t="s">
        <v>51</v>
      </c>
      <c r="D5" s="25" t="s">
        <v>30</v>
      </c>
      <c r="H5" s="25" t="s">
        <v>70</v>
      </c>
      <c r="L5" s="29">
        <f ca="1" xml:space="preserve"> WORKDAY(L4,1)</f>
        <v>44063</v>
      </c>
      <c r="N5" s="30">
        <v>2</v>
      </c>
      <c r="O5" s="28" t="s">
        <v>16</v>
      </c>
      <c r="P5" s="28" t="s">
        <v>15</v>
      </c>
      <c r="Q5" s="28" t="s">
        <v>40</v>
      </c>
      <c r="U5" s="32"/>
      <c r="W5" s="2" t="s">
        <v>45</v>
      </c>
    </row>
    <row r="6" spans="2:25" x14ac:dyDescent="0.2">
      <c r="B6" s="25"/>
      <c r="L6" s="29">
        <f t="shared" ref="L6:L13" ca="1" si="0" xml:space="preserve"> WORKDAY(L5,1)</f>
        <v>44064</v>
      </c>
      <c r="N6" s="30">
        <v>3</v>
      </c>
      <c r="O6" s="28" t="s">
        <v>14</v>
      </c>
      <c r="P6" s="28"/>
      <c r="Q6" s="28"/>
      <c r="S6" s="22" t="s">
        <v>79</v>
      </c>
    </row>
    <row r="7" spans="2:25" x14ac:dyDescent="0.2">
      <c r="F7" s="22" t="s">
        <v>77</v>
      </c>
      <c r="L7" s="29">
        <f ca="1" xml:space="preserve"> WORKDAY(L6,1)</f>
        <v>44067</v>
      </c>
      <c r="N7" s="30">
        <v>4</v>
      </c>
      <c r="O7" s="28" t="s">
        <v>13</v>
      </c>
      <c r="P7" s="28"/>
      <c r="Q7" s="28"/>
      <c r="S7" s="28" t="s">
        <v>80</v>
      </c>
    </row>
    <row r="8" spans="2:25" x14ac:dyDescent="0.2">
      <c r="F8" s="25" t="s">
        <v>76</v>
      </c>
      <c r="L8" s="29">
        <f t="shared" ca="1" si="0"/>
        <v>44068</v>
      </c>
      <c r="N8" s="30">
        <v>5</v>
      </c>
      <c r="O8" s="28"/>
      <c r="P8" s="28"/>
      <c r="Q8" s="28"/>
      <c r="S8" s="28" t="s">
        <v>81</v>
      </c>
    </row>
    <row r="9" spans="2:25" x14ac:dyDescent="0.2">
      <c r="F9" s="25" t="s">
        <v>78</v>
      </c>
      <c r="L9" s="29">
        <f t="shared" ca="1" si="0"/>
        <v>44069</v>
      </c>
      <c r="N9" s="30">
        <v>6</v>
      </c>
      <c r="O9" s="28"/>
      <c r="P9" s="28"/>
      <c r="Q9" s="28"/>
    </row>
    <row r="10" spans="2:25" x14ac:dyDescent="0.2">
      <c r="L10" s="29">
        <f t="shared" ca="1" si="0"/>
        <v>44070</v>
      </c>
      <c r="N10" s="30">
        <v>7</v>
      </c>
      <c r="O10" s="28"/>
      <c r="P10" s="28"/>
      <c r="Q10" s="28"/>
    </row>
    <row r="11" spans="2:25" x14ac:dyDescent="0.2">
      <c r="L11" s="29">
        <f t="shared" ca="1" si="0"/>
        <v>44071</v>
      </c>
      <c r="N11" s="30">
        <v>8</v>
      </c>
      <c r="O11" s="28"/>
      <c r="P11" s="28"/>
      <c r="Q11" s="28"/>
    </row>
    <row r="12" spans="2:25" x14ac:dyDescent="0.2">
      <c r="B12" s="22" t="s">
        <v>52</v>
      </c>
      <c r="D12" s="22" t="s">
        <v>52</v>
      </c>
      <c r="L12" s="29">
        <f t="shared" ca="1" si="0"/>
        <v>44074</v>
      </c>
      <c r="N12" s="30">
        <v>9</v>
      </c>
      <c r="O12" s="28"/>
      <c r="P12" s="28"/>
      <c r="Q12" s="28"/>
    </row>
    <row r="13" spans="2:25" x14ac:dyDescent="0.2">
      <c r="B13" s="25" t="s">
        <v>68</v>
      </c>
      <c r="D13" s="25" t="s">
        <v>62</v>
      </c>
      <c r="L13" s="29">
        <f t="shared" ca="1" si="0"/>
        <v>44075</v>
      </c>
      <c r="N13" s="30">
        <v>10</v>
      </c>
      <c r="O13" s="28"/>
      <c r="P13" s="28"/>
      <c r="Q13" s="28"/>
    </row>
    <row r="14" spans="2:25" x14ac:dyDescent="0.2">
      <c r="B14" s="25" t="s">
        <v>66</v>
      </c>
      <c r="D14" s="25" t="s">
        <v>63</v>
      </c>
      <c r="L14" s="33" t="s">
        <v>4</v>
      </c>
      <c r="N14" s="30">
        <v>11</v>
      </c>
      <c r="O14" s="28"/>
      <c r="P14" s="28"/>
      <c r="Q14" s="28"/>
    </row>
    <row r="15" spans="2:25" x14ac:dyDescent="0.2">
      <c r="B15" s="25" t="s">
        <v>67</v>
      </c>
      <c r="D15" s="25" t="s">
        <v>53</v>
      </c>
      <c r="L15" s="33" t="s">
        <v>36</v>
      </c>
      <c r="N15" s="30">
        <v>12</v>
      </c>
      <c r="O15" s="28"/>
      <c r="P15" s="28"/>
      <c r="Q15" s="28"/>
    </row>
    <row r="16" spans="2:25" x14ac:dyDescent="0.2">
      <c r="B16" s="25"/>
      <c r="D16" s="25" t="s">
        <v>5</v>
      </c>
      <c r="N16" s="34"/>
      <c r="O16" s="24"/>
      <c r="P16" s="24"/>
      <c r="Q16" s="24"/>
    </row>
    <row r="17" spans="1:14" x14ac:dyDescent="0.2">
      <c r="H17" s="14" t="s">
        <v>35</v>
      </c>
      <c r="N17" s="34"/>
    </row>
    <row r="18" spans="1:14" x14ac:dyDescent="0.2">
      <c r="N18" s="34"/>
    </row>
    <row r="19" spans="1:14" x14ac:dyDescent="0.2">
      <c r="N19" s="34"/>
    </row>
    <row r="20" spans="1:14" x14ac:dyDescent="0.2">
      <c r="N20" s="34"/>
    </row>
    <row r="21" spans="1:14" x14ac:dyDescent="0.2">
      <c r="N21" s="34"/>
    </row>
    <row r="22" spans="1:14" x14ac:dyDescent="0.2">
      <c r="N22" s="34"/>
    </row>
    <row r="23" spans="1:14" x14ac:dyDescent="0.2">
      <c r="A23" s="25" t="s">
        <v>87</v>
      </c>
      <c r="B23" s="83" t="s">
        <v>75</v>
      </c>
      <c r="C23" s="83"/>
      <c r="D23" s="83"/>
      <c r="N23" s="34"/>
    </row>
    <row r="24" spans="1:14" x14ac:dyDescent="0.2">
      <c r="A24" s="25" t="s">
        <v>33</v>
      </c>
      <c r="B24" s="25" t="s">
        <v>82</v>
      </c>
      <c r="C24" s="25" t="s">
        <v>83</v>
      </c>
      <c r="D24" s="38"/>
    </row>
    <row r="25" spans="1:14" x14ac:dyDescent="0.2">
      <c r="A25" s="25" t="s">
        <v>34</v>
      </c>
      <c r="B25" s="25" t="s">
        <v>84</v>
      </c>
      <c r="C25" s="25" t="s">
        <v>85</v>
      </c>
      <c r="D25" s="25" t="s">
        <v>86</v>
      </c>
    </row>
    <row r="26" spans="1:14" x14ac:dyDescent="0.2">
      <c r="A26" s="32"/>
    </row>
    <row r="27" spans="1:14" x14ac:dyDescent="0.2">
      <c r="A27" s="32"/>
    </row>
    <row r="28" spans="1:14" x14ac:dyDescent="0.2">
      <c r="B28"/>
      <c r="C28"/>
      <c r="D28"/>
      <c r="E28"/>
      <c r="F28"/>
      <c r="G28"/>
      <c r="H28"/>
      <c r="I28"/>
      <c r="J28"/>
    </row>
    <row r="29" spans="1:14" x14ac:dyDescent="0.2">
      <c r="B29"/>
      <c r="C29"/>
      <c r="D29"/>
      <c r="E29"/>
      <c r="F29"/>
      <c r="G29"/>
      <c r="H29"/>
      <c r="I29"/>
      <c r="J29"/>
    </row>
    <row r="30" spans="1:14" x14ac:dyDescent="0.2">
      <c r="B30"/>
      <c r="C30"/>
      <c r="D30"/>
      <c r="E30"/>
      <c r="F30"/>
      <c r="G30"/>
      <c r="H30"/>
      <c r="I30"/>
      <c r="J30"/>
    </row>
    <row r="31" spans="1:14" x14ac:dyDescent="0.2">
      <c r="B31"/>
      <c r="C31"/>
      <c r="D31"/>
      <c r="E31"/>
      <c r="F31"/>
      <c r="G31"/>
      <c r="H31"/>
      <c r="I31"/>
      <c r="J31"/>
    </row>
    <row r="32" spans="1:14" x14ac:dyDescent="0.2">
      <c r="B32"/>
      <c r="C32"/>
      <c r="D32"/>
      <c r="E32"/>
      <c r="F32"/>
      <c r="G32"/>
      <c r="H32"/>
      <c r="I32"/>
      <c r="J32"/>
    </row>
    <row r="33" spans="2:10" x14ac:dyDescent="0.2">
      <c r="B33"/>
      <c r="C33"/>
      <c r="D33"/>
      <c r="E33"/>
      <c r="F33"/>
      <c r="G33"/>
      <c r="H33"/>
      <c r="I33"/>
      <c r="J33"/>
    </row>
    <row r="34" spans="2:10" x14ac:dyDescent="0.2">
      <c r="B34"/>
      <c r="C34"/>
      <c r="D34"/>
      <c r="E34"/>
      <c r="F34"/>
      <c r="G34"/>
      <c r="H34"/>
      <c r="I34"/>
      <c r="J34"/>
    </row>
    <row r="35" spans="2:10" x14ac:dyDescent="0.2">
      <c r="B35"/>
      <c r="C35"/>
      <c r="D35"/>
      <c r="E35"/>
      <c r="F35"/>
      <c r="G35"/>
      <c r="H35"/>
      <c r="I35"/>
      <c r="J35"/>
    </row>
    <row r="36" spans="2:10" x14ac:dyDescent="0.2">
      <c r="B36"/>
      <c r="C36"/>
      <c r="D36"/>
      <c r="E36"/>
      <c r="F36"/>
      <c r="G36"/>
      <c r="H36"/>
      <c r="I36"/>
      <c r="J36"/>
    </row>
    <row r="37" spans="2:10" x14ac:dyDescent="0.2">
      <c r="B37"/>
      <c r="C37"/>
      <c r="D37"/>
      <c r="E37"/>
      <c r="F37"/>
      <c r="G37"/>
      <c r="H37"/>
      <c r="I37"/>
      <c r="J37"/>
    </row>
    <row r="38" spans="2:10" x14ac:dyDescent="0.2">
      <c r="B38"/>
      <c r="C38"/>
      <c r="D38"/>
      <c r="E38"/>
      <c r="F38"/>
      <c r="G38"/>
      <c r="H38"/>
      <c r="I38"/>
      <c r="J38"/>
    </row>
  </sheetData>
  <sortState xmlns:xlrd2="http://schemas.microsoft.com/office/spreadsheetml/2017/richdata2" ref="B3:B4">
    <sortCondition ref="B3"/>
  </sortState>
  <mergeCells count="2">
    <mergeCell ref="N2:Q2"/>
    <mergeCell ref="B23:D2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7069-D071-464F-995E-19CA88F57C41}">
  <sheetPr codeName="Sheet9"/>
  <dimension ref="D3:O27"/>
  <sheetViews>
    <sheetView showGridLines="0" workbookViewId="0">
      <pane xSplit="12" ySplit="36" topLeftCell="M53" activePane="bottomRight" state="frozen"/>
      <selection activeCell="I35" sqref="B35:I40"/>
      <selection pane="topRight" activeCell="I35" sqref="B35:I40"/>
      <selection pane="bottomLeft" activeCell="I35" sqref="B35:I40"/>
      <selection pane="bottomRight" activeCell="E18" sqref="E18"/>
    </sheetView>
  </sheetViews>
  <sheetFormatPr baseColWidth="10" defaultColWidth="10.83203125" defaultRowHeight="15" x14ac:dyDescent="0.2"/>
  <cols>
    <col min="1" max="3" width="10.83203125" style="14"/>
    <col min="4" max="4" width="35.83203125" style="14" customWidth="1"/>
    <col min="5" max="5" width="55.1640625" style="14" customWidth="1"/>
    <col min="6" max="6" width="18.5" style="14" customWidth="1"/>
    <col min="7" max="16384" width="10.83203125" style="14"/>
  </cols>
  <sheetData>
    <row r="3" spans="4:6" ht="14" customHeight="1" x14ac:dyDescent="0.2"/>
    <row r="4" spans="4:6" hidden="1" x14ac:dyDescent="0.2"/>
    <row r="5" spans="4:6" ht="53" customHeight="1" x14ac:dyDescent="0.2">
      <c r="D5" s="84" t="s">
        <v>0</v>
      </c>
      <c r="E5" s="85"/>
      <c r="F5" s="86"/>
    </row>
    <row r="6" spans="4:6" ht="44" customHeight="1" x14ac:dyDescent="0.2">
      <c r="D6" s="87" t="s">
        <v>54</v>
      </c>
      <c r="E6" s="88"/>
      <c r="F6" s="15" t="s">
        <v>37</v>
      </c>
    </row>
    <row r="7" spans="4:6" ht="24" x14ac:dyDescent="0.3">
      <c r="D7" s="16" t="s">
        <v>25</v>
      </c>
      <c r="E7" s="12"/>
      <c r="F7" s="17" t="str">
        <f>IF(E7 = "", "REQUIRED", "COMPLETE")</f>
        <v>REQUIRED</v>
      </c>
    </row>
    <row r="8" spans="4:6" ht="24" x14ac:dyDescent="0.3">
      <c r="D8" s="3" t="s">
        <v>26</v>
      </c>
      <c r="E8" s="13"/>
      <c r="F8" s="18" t="str">
        <f>IF(E8 = "", "REQUIRED", "COMPLETE")</f>
        <v>REQUIRED</v>
      </c>
    </row>
    <row r="9" spans="4:6" ht="24" x14ac:dyDescent="0.3">
      <c r="D9" s="3" t="s">
        <v>12</v>
      </c>
      <c r="E9" s="37" t="str">
        <f ca="1">IF(ISERROR(MID(CELL("filename",A1),FIND("-",CELL("filename",A1),FIND("]",CELL("filename",A1)))+1,4)), "TEST",MID(CELL("filename",A1),FIND("-",CELL("filename",A1),FIND("]",CELL("filename",A1)))+1,4))</f>
        <v>TEST</v>
      </c>
      <c r="F9" s="18" t="str">
        <f ca="1">IF(E9 = "", "REQUIRED", "COMPLETE")</f>
        <v>COMPLETE</v>
      </c>
    </row>
    <row r="10" spans="4:6" ht="24" x14ac:dyDescent="0.3">
      <c r="D10" s="3" t="s">
        <v>27</v>
      </c>
      <c r="E10" s="13"/>
      <c r="F10" s="18" t="str">
        <f>IF(E10 = "", "REQUIRED", "COMPLETE")</f>
        <v>REQUIRED</v>
      </c>
    </row>
    <row r="11" spans="4:6" ht="24" x14ac:dyDescent="0.3">
      <c r="D11" s="3" t="s">
        <v>55</v>
      </c>
      <c r="E11" s="4"/>
      <c r="F11" s="19" t="str">
        <f>IF(E11 = "", "REQUIRED", "COMPLETE")</f>
        <v>REQUIRED</v>
      </c>
    </row>
    <row r="12" spans="4:6" ht="29" customHeight="1" x14ac:dyDescent="0.2">
      <c r="D12" s="89" t="s">
        <v>56</v>
      </c>
      <c r="E12" s="90"/>
      <c r="F12" s="91"/>
    </row>
    <row r="13" spans="4:6" ht="24" x14ac:dyDescent="0.3">
      <c r="D13" s="5" t="s">
        <v>57</v>
      </c>
      <c r="E13" s="13"/>
      <c r="F13" s="17" t="str">
        <f>IF(E13 = "", "REQUIRED", "COMPLETE")</f>
        <v>REQUIRED</v>
      </c>
    </row>
    <row r="14" spans="4:6" ht="24" x14ac:dyDescent="0.3">
      <c r="D14" s="6" t="s">
        <v>73</v>
      </c>
      <c r="E14" s="13"/>
      <c r="F14" s="18" t="str">
        <f>IF(E14 = "", "REQUIRED", "COMPLETE")</f>
        <v>REQUIRED</v>
      </c>
    </row>
    <row r="15" spans="4:6" ht="24" x14ac:dyDescent="0.3">
      <c r="D15" s="6" t="s">
        <v>58</v>
      </c>
      <c r="E15" s="13"/>
      <c r="F15" s="92" t="str">
        <f>IF(E15 = "", "REQUIRED", "COMPLETE")</f>
        <v>REQUIRED</v>
      </c>
    </row>
    <row r="16" spans="4:6" ht="24" x14ac:dyDescent="0.3">
      <c r="D16" s="6" t="s">
        <v>59</v>
      </c>
      <c r="E16" s="13"/>
      <c r="F16" s="92"/>
    </row>
    <row r="17" spans="4:15" ht="24" x14ac:dyDescent="0.3">
      <c r="D17" s="6" t="s">
        <v>28</v>
      </c>
      <c r="E17" s="13"/>
      <c r="F17" s="92"/>
      <c r="O17" s="20"/>
    </row>
    <row r="18" spans="4:15" ht="24" x14ac:dyDescent="0.3">
      <c r="D18" s="7" t="s">
        <v>60</v>
      </c>
      <c r="E18" s="13"/>
      <c r="F18" s="19" t="str">
        <f>IF(E18 = "", "OPTIONAL", "COMPLETE")</f>
        <v>OPTIONAL</v>
      </c>
    </row>
    <row r="21" spans="4:15" x14ac:dyDescent="0.2">
      <c r="N21" s="21"/>
    </row>
    <row r="27" spans="4:15" x14ac:dyDescent="0.2">
      <c r="L27" s="21"/>
    </row>
  </sheetData>
  <mergeCells count="4">
    <mergeCell ref="D5:F5"/>
    <mergeCell ref="D6:E6"/>
    <mergeCell ref="D12:F12"/>
    <mergeCell ref="F15:F17"/>
  </mergeCells>
  <conditionalFormatting sqref="F7">
    <cfRule type="cellIs" dxfId="312" priority="36" operator="equal">
      <formula>"REQUIRED"</formula>
    </cfRule>
  </conditionalFormatting>
  <conditionalFormatting sqref="F7:F11">
    <cfRule type="cellIs" dxfId="311" priority="30" operator="equal">
      <formula>"NOT REQUIRED"</formula>
    </cfRule>
    <cfRule type="containsText" dxfId="310" priority="32" operator="containsText" text="Warning">
      <formula>NOT(ISERROR(SEARCH("Warning",F7)))</formula>
    </cfRule>
    <cfRule type="cellIs" dxfId="309" priority="33" operator="equal">
      <formula>"Warning*"</formula>
    </cfRule>
    <cfRule type="cellIs" dxfId="308" priority="34" operator="equal">
      <formula>"COMPLETE"</formula>
    </cfRule>
    <cfRule type="cellIs" dxfId="307" priority="35" operator="equal">
      <formula>"REQUIRED"</formula>
    </cfRule>
  </conditionalFormatting>
  <conditionalFormatting sqref="F6:F11">
    <cfRule type="containsText" dxfId="306" priority="29" operator="containsText" text="OPTIONAL">
      <formula>NOT(ISERROR(SEARCH("OPTIONAL",F6)))</formula>
    </cfRule>
    <cfRule type="containsText" dxfId="305" priority="31" operator="containsText" text="REQUIRED">
      <formula>NOT(ISERROR(SEARCH("REQUIRED",F6)))</formula>
    </cfRule>
  </conditionalFormatting>
  <conditionalFormatting sqref="F13">
    <cfRule type="cellIs" dxfId="304" priority="23" operator="equal">
      <formula>"NOT REQUIRED"</formula>
    </cfRule>
    <cfRule type="containsText" dxfId="303" priority="25" operator="containsText" text="Warning">
      <formula>NOT(ISERROR(SEARCH("Warning",F13)))</formula>
    </cfRule>
    <cfRule type="cellIs" dxfId="302" priority="26" operator="equal">
      <formula>"Warning*"</formula>
    </cfRule>
    <cfRule type="cellIs" dxfId="301" priority="27" operator="equal">
      <formula>"COMPLETE"</formula>
    </cfRule>
    <cfRule type="cellIs" dxfId="300" priority="28" operator="equal">
      <formula>"REQUIRED"</formula>
    </cfRule>
  </conditionalFormatting>
  <conditionalFormatting sqref="F13">
    <cfRule type="containsText" dxfId="299" priority="22" operator="containsText" text="OPTIONAL">
      <formula>NOT(ISERROR(SEARCH("OPTIONAL",F13)))</formula>
    </cfRule>
    <cfRule type="containsText" dxfId="298" priority="24" operator="containsText" text="REQUIRED">
      <formula>NOT(ISERROR(SEARCH("REQUIRED",F13)))</formula>
    </cfRule>
  </conditionalFormatting>
  <conditionalFormatting sqref="F14">
    <cfRule type="cellIs" dxfId="297" priority="16" operator="equal">
      <formula>"NOT REQUIRED"</formula>
    </cfRule>
    <cfRule type="containsText" dxfId="296" priority="18" operator="containsText" text="Warning">
      <formula>NOT(ISERROR(SEARCH("Warning",F14)))</formula>
    </cfRule>
    <cfRule type="cellIs" dxfId="295" priority="19" operator="equal">
      <formula>"Warning*"</formula>
    </cfRule>
    <cfRule type="cellIs" dxfId="294" priority="20" operator="equal">
      <formula>"COMPLETE"</formula>
    </cfRule>
    <cfRule type="cellIs" dxfId="293" priority="21" operator="equal">
      <formula>"REQUIRED"</formula>
    </cfRule>
  </conditionalFormatting>
  <conditionalFormatting sqref="F14">
    <cfRule type="containsText" dxfId="292" priority="15" operator="containsText" text="OPTIONAL">
      <formula>NOT(ISERROR(SEARCH("OPTIONAL",F14)))</formula>
    </cfRule>
    <cfRule type="containsText" dxfId="291" priority="17" operator="containsText" text="REQUIRED">
      <formula>NOT(ISERROR(SEARCH("REQUIRED",F14)))</formula>
    </cfRule>
  </conditionalFormatting>
  <conditionalFormatting sqref="F15">
    <cfRule type="cellIs" dxfId="290" priority="9" operator="equal">
      <formula>"NOT REQUIRED"</formula>
    </cfRule>
    <cfRule type="containsText" dxfId="289" priority="11" operator="containsText" text="Warning">
      <formula>NOT(ISERROR(SEARCH("Warning",F15)))</formula>
    </cfRule>
    <cfRule type="cellIs" dxfId="288" priority="12" operator="equal">
      <formula>"Warning*"</formula>
    </cfRule>
    <cfRule type="cellIs" dxfId="287" priority="13" operator="equal">
      <formula>"COMPLETE"</formula>
    </cfRule>
    <cfRule type="cellIs" dxfId="286" priority="14" operator="equal">
      <formula>"REQUIRED"</formula>
    </cfRule>
  </conditionalFormatting>
  <conditionalFormatting sqref="F15">
    <cfRule type="containsText" dxfId="285" priority="8" operator="containsText" text="OPTIONAL">
      <formula>NOT(ISERROR(SEARCH("OPTIONAL",F15)))</formula>
    </cfRule>
    <cfRule type="containsText" dxfId="284" priority="10" operator="containsText" text="REQUIRED">
      <formula>NOT(ISERROR(SEARCH("REQUIRED",F15)))</formula>
    </cfRule>
  </conditionalFormatting>
  <conditionalFormatting sqref="F18">
    <cfRule type="cellIs" dxfId="283" priority="2" operator="equal">
      <formula>"NOT REQUIRED"</formula>
    </cfRule>
    <cfRule type="containsText" dxfId="282" priority="4" operator="containsText" text="Warning">
      <formula>NOT(ISERROR(SEARCH("Warning",F18)))</formula>
    </cfRule>
    <cfRule type="cellIs" dxfId="281" priority="5" operator="equal">
      <formula>"Warning*"</formula>
    </cfRule>
    <cfRule type="cellIs" dxfId="280" priority="6" operator="equal">
      <formula>"COMPLETE"</formula>
    </cfRule>
    <cfRule type="cellIs" dxfId="279" priority="7" operator="equal">
      <formula>"REQUIRED"</formula>
    </cfRule>
  </conditionalFormatting>
  <conditionalFormatting sqref="F18">
    <cfRule type="containsText" dxfId="278" priority="1" operator="containsText" text="OPTIONAL">
      <formula>NOT(ISERROR(SEARCH("OPTIONAL",F18)))</formula>
    </cfRule>
    <cfRule type="containsText" dxfId="277" priority="3" operator="containsText" text="REQUIRED">
      <formula>NOT(ISERROR(SEARCH("REQUIRED",F18)))</formula>
    </cfRule>
  </conditionalFormatting>
  <hyperlinks>
    <hyperlink ref="D15" r:id="rId1" display="tel:(902) 667-6285" xr:uid="{A995E542-B719-6649-A98F-D6A834ABE969}"/>
    <hyperlink ref="D17" r:id="rId2" display="mailto:Perry.Hamilton@novascotia.ca" xr:uid="{FD02672B-AE20-7A4D-A152-D98D6C95CE3D}"/>
  </hyperlinks>
  <pageMargins left="0.7" right="0.7" top="0.75" bottom="0.75" header="0.3" footer="0.3"/>
  <pageSetup orientation="portrait" horizontalDpi="0" verticalDpi="0"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promptTitle="Select a date" prompt="The next 10 business days starting 3 business days out are displayed. _x000a__x000a_Please select the maximum amount of time allowed for the change._x000a__x000a_Select Urgent if there is a need to have this request completed in less than 3 business days._x000a_" xr:uid="{7D1CE8D4-61E9-3C42-A6D8-0A7645201803}">
          <x14:formula1>
            <xm:f>Reference!$L$3:$L$15</xm:f>
          </x14:formula1>
          <xm:sqref>E11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D8DE5F9C-7D88-1846-A7CE-16BADF56A92A}">
          <x14:formula1>
            <xm:f>Reference!$J$3:$J$4</xm:f>
          </x14:formula1>
          <xm:sqref>E9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B7B22F59-8F58-7C4C-B927-FADB9D914F33}">
          <x14:formula1>
            <xm:f>Reference!$B$3:$B$4</xm:f>
          </x14:formula1>
          <xm:sqref>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93C8-07D4-5C40-BE80-E34AC6FF6B92}">
  <sheetPr codeName="Sheet1"/>
  <dimension ref="B1:M70"/>
  <sheetViews>
    <sheetView showGridLines="0" zoomScale="90" zoomScaleNormal="90" workbookViewId="0">
      <pane xSplit="9" ySplit="3" topLeftCell="R35" activePane="bottomRight" state="frozen"/>
      <selection activeCell="I49" sqref="I49"/>
      <selection pane="topRight" activeCell="I49" sqref="I49"/>
      <selection pane="bottomLeft" activeCell="I49" sqref="I49"/>
      <selection pane="bottomRight" activeCell="I49" sqref="I49"/>
    </sheetView>
  </sheetViews>
  <sheetFormatPr baseColWidth="10" defaultRowHeight="15" x14ac:dyDescent="0.2"/>
  <cols>
    <col min="1" max="1" width="13.1640625" customWidth="1"/>
    <col min="2" max="2" width="38.6640625" customWidth="1"/>
    <col min="3" max="3" width="14" customWidth="1"/>
    <col min="4" max="4" width="43" customWidth="1"/>
    <col min="5" max="5" width="12.6640625" customWidth="1"/>
    <col min="6" max="6" width="9.5" customWidth="1"/>
    <col min="7" max="7" width="9.6640625" customWidth="1"/>
    <col min="8" max="8" width="13.1640625" customWidth="1"/>
    <col min="9" max="9" width="24.83203125" customWidth="1"/>
    <col min="10" max="10" width="31.83203125" customWidth="1"/>
    <col min="11" max="11" width="41.6640625" customWidth="1"/>
    <col min="12" max="12" width="28.5" hidden="1" customWidth="1"/>
  </cols>
  <sheetData>
    <row r="1" spans="2:12" ht="23" customHeight="1" thickBot="1" x14ac:dyDescent="0.25"/>
    <row r="2" spans="2:12" ht="44" customHeight="1" x14ac:dyDescent="0.2">
      <c r="B2" s="98" t="s">
        <v>0</v>
      </c>
      <c r="C2" s="99"/>
      <c r="D2" s="99"/>
      <c r="E2" s="99"/>
      <c r="F2" s="99"/>
      <c r="G2" s="99"/>
      <c r="H2" s="99"/>
      <c r="I2" s="39" t="s">
        <v>88</v>
      </c>
    </row>
    <row r="3" spans="2:12" ht="44" customHeight="1" thickBot="1" x14ac:dyDescent="0.25">
      <c r="B3" s="100" t="s">
        <v>89</v>
      </c>
      <c r="C3" s="101"/>
      <c r="D3" s="101"/>
      <c r="E3" s="101"/>
      <c r="F3" s="101"/>
      <c r="G3" s="101"/>
      <c r="H3" s="101"/>
      <c r="I3" s="40" t="str">
        <f ca="1">IF(OR(COUNTIF(I5:I64, "REQUIRED") &gt;0, COUNTIF(I5:I64, "ERROR") &gt;0), "INCOMPLETE", "COMPLETE")</f>
        <v>INCOMPLETE</v>
      </c>
    </row>
    <row r="4" spans="2:12" ht="29" customHeight="1" x14ac:dyDescent="0.3">
      <c r="B4" s="102" t="s">
        <v>90</v>
      </c>
      <c r="C4" s="103"/>
      <c r="D4" s="103"/>
      <c r="E4" s="103"/>
      <c r="F4" s="103"/>
      <c r="G4" s="103"/>
      <c r="H4" s="104"/>
      <c r="I4" s="41" t="s">
        <v>37</v>
      </c>
    </row>
    <row r="5" spans="2:12" ht="25" customHeight="1" x14ac:dyDescent="0.3">
      <c r="B5" s="96" t="s">
        <v>25</v>
      </c>
      <c r="C5" s="96"/>
      <c r="D5" s="97"/>
      <c r="E5" s="97"/>
      <c r="F5" s="97"/>
      <c r="G5" s="97"/>
      <c r="H5" s="97"/>
      <c r="I5" s="42" t="str">
        <f>IF(D5 = "", "REQUIRED", "COMPLETE")</f>
        <v>REQUIRED</v>
      </c>
    </row>
    <row r="6" spans="2:12" ht="24" x14ac:dyDescent="0.3">
      <c r="B6" s="96" t="s">
        <v>26</v>
      </c>
      <c r="C6" s="96"/>
      <c r="D6" s="97"/>
      <c r="E6" s="97"/>
      <c r="F6" s="97"/>
      <c r="G6" s="97"/>
      <c r="H6" s="97"/>
      <c r="I6" s="43" t="str">
        <f>IF(D6 = "", "REQUIRED", "COMPLETE")</f>
        <v>REQUIRED</v>
      </c>
    </row>
    <row r="7" spans="2:12" ht="24" x14ac:dyDescent="0.3">
      <c r="B7" s="96" t="s">
        <v>12</v>
      </c>
      <c r="C7" s="96"/>
      <c r="D7" s="105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06"/>
      <c r="F7" s="106"/>
      <c r="G7" s="106"/>
      <c r="H7" s="107"/>
      <c r="I7" s="43" t="str">
        <f ca="1">IF(D7 = "", "REQUIRED", "COMPLETE")</f>
        <v>COMPLETE</v>
      </c>
    </row>
    <row r="8" spans="2:12" ht="24" x14ac:dyDescent="0.3">
      <c r="B8" s="96" t="s">
        <v>91</v>
      </c>
      <c r="C8" s="96"/>
      <c r="D8" s="44"/>
      <c r="E8" s="45"/>
      <c r="F8" s="46"/>
      <c r="G8" s="46"/>
      <c r="H8" s="46"/>
      <c r="I8" s="43" t="str">
        <f>IF(D8 = "", "REQUIRED", "COMPLETE")</f>
        <v>REQUIRED</v>
      </c>
    </row>
    <row r="9" spans="2:12" ht="24" x14ac:dyDescent="0.3">
      <c r="B9" s="108" t="s">
        <v>92</v>
      </c>
      <c r="C9" s="108"/>
      <c r="D9" s="109"/>
      <c r="E9" s="109"/>
      <c r="F9" s="109"/>
      <c r="G9" s="109"/>
      <c r="H9" s="109"/>
      <c r="I9" s="43" t="str">
        <f>IF(D9 = "", "OPTIONAL", "COMPLETE")</f>
        <v>OPTIONAL</v>
      </c>
    </row>
    <row r="10" spans="2:12" ht="24" x14ac:dyDescent="0.3">
      <c r="B10" s="96" t="s">
        <v>93</v>
      </c>
      <c r="C10" s="96"/>
      <c r="D10" s="97"/>
      <c r="E10" s="97"/>
      <c r="F10" s="97"/>
      <c r="G10" s="97"/>
      <c r="H10" s="97"/>
      <c r="I10" s="43" t="str">
        <f ca="1">IF(OR(D7=Reference!J3,D7=""),IF(D10 = "", "NOT REQUIRED", "COMPLETE"), IF(D10 = "", "REQUIRED", "COMPLETE"))</f>
        <v>NOT REQUIRED</v>
      </c>
      <c r="L10" s="47" t="s">
        <v>75</v>
      </c>
    </row>
    <row r="11" spans="2:12" ht="26" x14ac:dyDescent="0.3">
      <c r="B11" s="110" t="s">
        <v>94</v>
      </c>
      <c r="C11" s="111"/>
      <c r="D11" s="111"/>
      <c r="E11" s="111"/>
      <c r="F11" s="111"/>
      <c r="G11" s="111"/>
      <c r="H11" s="111"/>
      <c r="I11" s="112"/>
      <c r="L11" s="38" t="str">
        <f>IF($D$22="","",IF(VLOOKUP($D$22,Reference!$A$24:$F$26,2,FALSE)= 0, "", VLOOKUP($D$22,Reference!$A$24:$F$26,2,FALSE)))</f>
        <v/>
      </c>
    </row>
    <row r="12" spans="2:12" ht="21" x14ac:dyDescent="0.25">
      <c r="B12" s="113" t="s">
        <v>95</v>
      </c>
      <c r="C12" s="114"/>
      <c r="D12" s="114"/>
      <c r="E12" s="114"/>
      <c r="F12" s="114"/>
      <c r="G12" s="114"/>
      <c r="H12" s="114"/>
      <c r="I12" s="115"/>
      <c r="L12" s="38" t="str">
        <f>IF($D$22="","",IF(VLOOKUP($D$22,Reference!$A$24:$F$26,3,FALSE)= 0, "", VLOOKUP($D$22,Reference!$A$24:$F$26,3,FALSE)))</f>
        <v/>
      </c>
    </row>
    <row r="13" spans="2:12" ht="24" x14ac:dyDescent="0.3">
      <c r="B13" s="116" t="s">
        <v>96</v>
      </c>
      <c r="C13" s="116"/>
      <c r="D13" s="117"/>
      <c r="E13" s="117"/>
      <c r="F13" s="117"/>
      <c r="G13" s="117"/>
      <c r="H13" s="117"/>
      <c r="I13" s="43" t="str">
        <f>IF(D13 = "", "REQUIRED", "COMPLETE")</f>
        <v>REQUIRED</v>
      </c>
      <c r="L13" s="38" t="str">
        <f>IF($D$22="","",IF(VLOOKUP($D$22,Reference!$A$24:$F$26,4,FALSE)= 0, "", VLOOKUP($D$22,Reference!$A$24:$F$26,4,FALSE)))</f>
        <v/>
      </c>
    </row>
    <row r="14" spans="2:12" ht="24" x14ac:dyDescent="0.3">
      <c r="B14" s="118" t="s">
        <v>97</v>
      </c>
      <c r="C14" s="118"/>
      <c r="D14" s="97"/>
      <c r="E14" s="97"/>
      <c r="F14" s="97"/>
      <c r="G14" s="97"/>
      <c r="H14" s="97"/>
      <c r="I14" s="119" t="str">
        <f>IF(AND(D14 = "",D15 = ""), "REQUIRED","COMPLETE")</f>
        <v>REQUIRED</v>
      </c>
      <c r="L14" s="38" t="str">
        <f>IF($D$22="","",IF(VLOOKUP($D$22,Reference!$A$24:$F$26,5,FALSE)= 0, "", VLOOKUP($D$22,Reference!$A$24:$F$26,5,FALSE)))</f>
        <v/>
      </c>
    </row>
    <row r="15" spans="2:12" ht="24" x14ac:dyDescent="0.3">
      <c r="B15" s="120" t="s">
        <v>28</v>
      </c>
      <c r="C15" s="120"/>
      <c r="D15" s="121"/>
      <c r="E15" s="121"/>
      <c r="F15" s="121"/>
      <c r="G15" s="121"/>
      <c r="H15" s="121"/>
      <c r="I15" s="119"/>
      <c r="L15" s="38" t="str">
        <f>IF($D$22="","",IF(VLOOKUP($D$22,Reference!$A$24:$F$26,6,FALSE)= 0, "", VLOOKUP($D$22,Reference!$A$24:$F$26,6,FALSE)))</f>
        <v/>
      </c>
    </row>
    <row r="16" spans="2:12" ht="21" x14ac:dyDescent="0.25">
      <c r="B16" s="122" t="s">
        <v>98</v>
      </c>
      <c r="C16" s="123"/>
      <c r="D16" s="123"/>
      <c r="E16" s="123"/>
      <c r="F16" s="123"/>
      <c r="G16" s="123"/>
      <c r="H16" s="123"/>
      <c r="I16" s="124"/>
      <c r="L16" s="38"/>
    </row>
    <row r="17" spans="2:9" ht="24" x14ac:dyDescent="0.3">
      <c r="B17" s="116" t="s">
        <v>96</v>
      </c>
      <c r="C17" s="116"/>
      <c r="D17" s="117"/>
      <c r="E17" s="117"/>
      <c r="F17" s="117"/>
      <c r="G17" s="117"/>
      <c r="H17" s="117"/>
      <c r="I17" s="43" t="str">
        <f>IF(D17 = "", "OPTIONAL", "COMPLETE")</f>
        <v>OPTIONAL</v>
      </c>
    </row>
    <row r="18" spans="2:9" ht="24" x14ac:dyDescent="0.3">
      <c r="B18" s="118" t="s">
        <v>97</v>
      </c>
      <c r="C18" s="118"/>
      <c r="D18" s="97"/>
      <c r="E18" s="97"/>
      <c r="F18" s="97"/>
      <c r="G18" s="97"/>
      <c r="H18" s="97"/>
      <c r="I18" s="43" t="str">
        <f>IF(D18 = "", "OPTIONAL", "COMPLETE")</f>
        <v>OPTIONAL</v>
      </c>
    </row>
    <row r="19" spans="2:9" ht="24" x14ac:dyDescent="0.3">
      <c r="B19" s="120" t="s">
        <v>28</v>
      </c>
      <c r="C19" s="120"/>
      <c r="D19" s="121"/>
      <c r="E19" s="121"/>
      <c r="F19" s="121"/>
      <c r="G19" s="121"/>
      <c r="H19" s="121"/>
      <c r="I19" s="43" t="str">
        <f>IF(D19 = "", "OPTIONAL", "COMPLETE")</f>
        <v>OPTIONAL</v>
      </c>
    </row>
    <row r="20" spans="2:9" ht="26" x14ac:dyDescent="0.3">
      <c r="B20" s="110" t="s">
        <v>99</v>
      </c>
      <c r="C20" s="111"/>
      <c r="D20" s="111"/>
      <c r="E20" s="111"/>
      <c r="F20" s="111"/>
      <c r="G20" s="111"/>
      <c r="H20" s="111"/>
      <c r="I20" s="112"/>
    </row>
    <row r="21" spans="2:9" ht="24" x14ac:dyDescent="0.3">
      <c r="B21" s="116" t="s">
        <v>100</v>
      </c>
      <c r="C21" s="116"/>
      <c r="D21" s="117"/>
      <c r="E21" s="117"/>
      <c r="F21" s="117"/>
      <c r="G21" s="117"/>
      <c r="H21" s="117"/>
      <c r="I21" s="43" t="str">
        <f>IF(D21 = "", "REQUIRED", "COMPLETE")</f>
        <v>REQUIRED</v>
      </c>
    </row>
    <row r="22" spans="2:9" ht="27" customHeight="1" x14ac:dyDescent="0.3">
      <c r="B22" s="118" t="s">
        <v>101</v>
      </c>
      <c r="C22" s="118"/>
      <c r="D22" s="97"/>
      <c r="E22" s="97"/>
      <c r="F22" s="97"/>
      <c r="G22" s="97"/>
      <c r="H22" s="97"/>
      <c r="I22" s="43" t="str">
        <f>IF(D22 = "", "REQUIRED", "COMPLETE")</f>
        <v>REQUIRED</v>
      </c>
    </row>
    <row r="23" spans="2:9" ht="24" x14ac:dyDescent="0.3">
      <c r="B23" s="120" t="s">
        <v>102</v>
      </c>
      <c r="C23" s="120"/>
      <c r="D23" s="121"/>
      <c r="E23" s="121"/>
      <c r="F23" s="121"/>
      <c r="G23" s="121"/>
      <c r="H23" s="121"/>
      <c r="I23" s="43" t="str">
        <f>IF(D22 = Reference!F4, "NOT REQUIRED", IF(D23 = "", "REQUIRED", "COMPLETE"))</f>
        <v>REQUIRED</v>
      </c>
    </row>
    <row r="24" spans="2:9" ht="24" x14ac:dyDescent="0.3">
      <c r="B24" s="118" t="s">
        <v>103</v>
      </c>
      <c r="C24" s="118"/>
      <c r="D24" s="105"/>
      <c r="E24" s="106"/>
      <c r="F24" s="106"/>
      <c r="G24" s="106"/>
      <c r="H24" s="107"/>
      <c r="I24" s="73" t="str">
        <f>IF(D22 = Reference!F3, "NOT REQUIRED", IF(D22 = Reference!F4, IF(D24 = "","REQUIRED", "COMPLETE"), "NOT REQUIRED" ))</f>
        <v>NOT REQUIRED</v>
      </c>
    </row>
    <row r="25" spans="2:9" ht="24" hidden="1" x14ac:dyDescent="0.3">
      <c r="B25" s="118" t="s">
        <v>104</v>
      </c>
      <c r="C25" s="118"/>
      <c r="D25" s="105"/>
      <c r="E25" s="106"/>
      <c r="F25" s="106"/>
      <c r="G25" s="106"/>
      <c r="H25" s="107"/>
      <c r="I25" s="43" t="str">
        <f>IF(D25 = "", "NOT REQUIRED", "COMPLETE")</f>
        <v>NOT REQUIRED</v>
      </c>
    </row>
    <row r="26" spans="2:9" ht="24" x14ac:dyDescent="0.3">
      <c r="B26" s="126" t="s">
        <v>105</v>
      </c>
      <c r="C26" s="127"/>
      <c r="D26" s="49"/>
      <c r="E26" s="105"/>
      <c r="F26" s="106"/>
      <c r="G26" s="106"/>
      <c r="H26" s="107"/>
      <c r="I26" s="43" t="str">
        <f>IF(OR(E26 = "", D26 = ""), "REQUIRED", "COMPLETE")</f>
        <v>REQUIRED</v>
      </c>
    </row>
    <row r="27" spans="2:9" ht="24" x14ac:dyDescent="0.3">
      <c r="B27" s="126" t="s">
        <v>106</v>
      </c>
      <c r="C27" s="127"/>
      <c r="D27" s="105"/>
      <c r="E27" s="106"/>
      <c r="F27" s="106"/>
      <c r="G27" s="106"/>
      <c r="H27" s="107"/>
      <c r="I27" s="43" t="str">
        <f>IF(D27 = "", "NOT REQUIRED", "COMPLETE")</f>
        <v>NOT REQUIRED</v>
      </c>
    </row>
    <row r="28" spans="2:9" ht="24" x14ac:dyDescent="0.3">
      <c r="B28" s="50" t="s">
        <v>107</v>
      </c>
      <c r="C28" s="51"/>
      <c r="D28" s="122"/>
      <c r="E28" s="123"/>
      <c r="F28" s="123"/>
      <c r="G28" s="123"/>
      <c r="H28" s="124"/>
      <c r="I28" s="43" t="str">
        <f>IF(C28 = "", "REQUIRED", "COMPLETE")</f>
        <v>REQUIRED</v>
      </c>
    </row>
    <row r="29" spans="2:9" ht="24" x14ac:dyDescent="0.3">
      <c r="B29" s="52" t="s">
        <v>108</v>
      </c>
      <c r="C29" s="49" t="str">
        <f>IF($C$28="All","Yes", "")</f>
        <v/>
      </c>
      <c r="D29" s="126" t="s">
        <v>109</v>
      </c>
      <c r="E29" s="127"/>
      <c r="F29" s="105" t="str">
        <f>IF($C$28="All","Yes", IF(AND(C28 = "Restricted",C29="No"), "No",""))</f>
        <v/>
      </c>
      <c r="G29" s="106"/>
      <c r="H29" s="107"/>
      <c r="I29" s="125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9" ht="24" x14ac:dyDescent="0.3">
      <c r="B30" s="50" t="s">
        <v>110</v>
      </c>
      <c r="C30" s="49" t="str">
        <f>IF($C$28="All","Yes", "")</f>
        <v/>
      </c>
      <c r="D30" s="53"/>
      <c r="E30" s="54"/>
      <c r="F30" s="54"/>
      <c r="G30" s="54"/>
      <c r="H30" s="55"/>
      <c r="I30" s="125"/>
    </row>
    <row r="31" spans="2:9" ht="24" x14ac:dyDescent="0.3">
      <c r="B31" s="56" t="s">
        <v>111</v>
      </c>
      <c r="C31" s="57" t="str">
        <f>IF($C$28="All","Yes", "")</f>
        <v/>
      </c>
      <c r="D31" s="58"/>
      <c r="E31" s="59"/>
      <c r="F31" s="59"/>
      <c r="G31" s="59"/>
      <c r="H31" s="60"/>
      <c r="I31" s="125"/>
    </row>
    <row r="32" spans="2:9" ht="22" customHeight="1" x14ac:dyDescent="0.2">
      <c r="B32" s="93" t="s">
        <v>148</v>
      </c>
      <c r="C32" s="93"/>
      <c r="D32" s="94" t="s">
        <v>112</v>
      </c>
      <c r="E32" s="94"/>
      <c r="F32" s="94"/>
      <c r="G32" s="94"/>
      <c r="H32" s="94"/>
      <c r="I32" s="95" t="str">
        <f>IF(OR(C28 = "All", C28 = ""), "NOT REQUIRED", IF(D32 = "", "REQUIRED", "COMPLETE"))</f>
        <v>NOT REQUIRED</v>
      </c>
    </row>
    <row r="33" spans="2:13" ht="23" customHeight="1" x14ac:dyDescent="0.2">
      <c r="B33" s="93"/>
      <c r="C33" s="93"/>
      <c r="D33" s="94"/>
      <c r="E33" s="94"/>
      <c r="F33" s="94"/>
      <c r="G33" s="94"/>
      <c r="H33" s="94"/>
      <c r="I33" s="95"/>
    </row>
    <row r="34" spans="2:13" ht="26" customHeight="1" x14ac:dyDescent="0.2">
      <c r="B34" s="93"/>
      <c r="C34" s="93"/>
      <c r="D34" s="94"/>
      <c r="E34" s="94"/>
      <c r="F34" s="94"/>
      <c r="G34" s="94"/>
      <c r="H34" s="94"/>
      <c r="I34" s="95"/>
    </row>
    <row r="35" spans="2:13" ht="21" customHeight="1" x14ac:dyDescent="0.2">
      <c r="B35" s="93" t="s">
        <v>149</v>
      </c>
      <c r="C35" s="93"/>
      <c r="D35" s="94" t="s">
        <v>143</v>
      </c>
      <c r="E35" s="94"/>
      <c r="F35" s="94"/>
      <c r="G35" s="94"/>
      <c r="H35" s="94"/>
      <c r="I35" s="95" t="str">
        <f>IF(OR(C28 = "All", C28 = ""), "NOT REQUIRED", IF(D35 = "", "REQUIRED", "COMPLETE"))</f>
        <v>NOT REQUIRED</v>
      </c>
    </row>
    <row r="36" spans="2:13" ht="24" customHeight="1" x14ac:dyDescent="0.2">
      <c r="B36" s="93"/>
      <c r="C36" s="93"/>
      <c r="D36" s="94"/>
      <c r="E36" s="94"/>
      <c r="F36" s="94"/>
      <c r="G36" s="94"/>
      <c r="H36" s="94"/>
      <c r="I36" s="95"/>
    </row>
    <row r="37" spans="2:13" ht="24" customHeight="1" x14ac:dyDescent="0.2">
      <c r="B37" s="93"/>
      <c r="C37" s="93"/>
      <c r="D37" s="94"/>
      <c r="E37" s="94"/>
      <c r="F37" s="94"/>
      <c r="G37" s="94"/>
      <c r="H37" s="94"/>
      <c r="I37" s="95"/>
    </row>
    <row r="38" spans="2:13" ht="21" x14ac:dyDescent="0.25">
      <c r="B38" s="122" t="s">
        <v>113</v>
      </c>
      <c r="C38" s="123"/>
      <c r="D38" s="123"/>
      <c r="E38" s="123"/>
      <c r="F38" s="123"/>
      <c r="G38" s="123"/>
      <c r="H38" s="123"/>
      <c r="I38" s="124"/>
    </row>
    <row r="39" spans="2:13" ht="24" customHeight="1" x14ac:dyDescent="0.3">
      <c r="B39" s="52" t="s">
        <v>114</v>
      </c>
      <c r="C39" s="49"/>
      <c r="D39" s="126" t="s">
        <v>28</v>
      </c>
      <c r="E39" s="127"/>
      <c r="F39" s="128"/>
      <c r="G39" s="129"/>
      <c r="H39" s="130"/>
      <c r="I39" s="125" t="str">
        <f>IF(OR(C39 = "",C40 = "",C41 = "",C42 = "",F39 = "",F40 = "",F41 = ""), "REQUIRED:                                        Please select Yes or No for all","COMPLETE")</f>
        <v>REQUIRED:                                        Please select Yes or No for all</v>
      </c>
    </row>
    <row r="40" spans="2:13" ht="24" x14ac:dyDescent="0.3">
      <c r="B40" s="50" t="s">
        <v>115</v>
      </c>
      <c r="C40" s="51"/>
      <c r="D40" s="126" t="s">
        <v>116</v>
      </c>
      <c r="E40" s="127"/>
      <c r="F40" s="105"/>
      <c r="G40" s="106"/>
      <c r="H40" s="107"/>
      <c r="I40" s="125"/>
    </row>
    <row r="41" spans="2:13" ht="24" x14ac:dyDescent="0.3">
      <c r="B41" s="50" t="s">
        <v>117</v>
      </c>
      <c r="C41" s="51"/>
      <c r="D41" s="126" t="s">
        <v>118</v>
      </c>
      <c r="E41" s="127"/>
      <c r="F41" s="105"/>
      <c r="G41" s="106"/>
      <c r="H41" s="107"/>
      <c r="I41" s="125"/>
      <c r="M41" s="61"/>
    </row>
    <row r="42" spans="2:13" ht="24" x14ac:dyDescent="0.3">
      <c r="B42" s="52" t="s">
        <v>119</v>
      </c>
      <c r="C42" s="62"/>
      <c r="D42" s="63"/>
      <c r="E42" s="64"/>
      <c r="F42" s="64"/>
      <c r="G42" s="64"/>
      <c r="H42" s="65"/>
      <c r="I42" s="125"/>
    </row>
    <row r="43" spans="2:13" ht="26" x14ac:dyDescent="0.3">
      <c r="B43" s="110" t="s">
        <v>120</v>
      </c>
      <c r="C43" s="111"/>
      <c r="D43" s="111"/>
      <c r="E43" s="111"/>
      <c r="F43" s="111"/>
      <c r="G43" s="111"/>
      <c r="H43" s="111"/>
      <c r="I43" s="112"/>
    </row>
    <row r="44" spans="2:13" ht="24" x14ac:dyDescent="0.3">
      <c r="B44" s="116" t="s">
        <v>121</v>
      </c>
      <c r="C44" s="116"/>
      <c r="D44" s="117"/>
      <c r="E44" s="117"/>
      <c r="F44" s="117"/>
      <c r="G44" s="117"/>
      <c r="H44" s="117"/>
      <c r="I44" s="43" t="str">
        <f>IF(D44 = "", "REQUIRED", "COMPLETE")</f>
        <v>REQUIRED</v>
      </c>
    </row>
    <row r="45" spans="2:13" ht="24" x14ac:dyDescent="0.3">
      <c r="B45" s="116" t="s">
        <v>122</v>
      </c>
      <c r="C45" s="116"/>
      <c r="D45" s="117"/>
      <c r="E45" s="117"/>
      <c r="F45" s="117"/>
      <c r="G45" s="117"/>
      <c r="H45" s="117"/>
      <c r="I45" s="43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6" spans="2:13" ht="24" x14ac:dyDescent="0.3">
      <c r="B46" s="118" t="s">
        <v>123</v>
      </c>
      <c r="C46" s="118"/>
      <c r="D46" s="97"/>
      <c r="E46" s="97"/>
      <c r="F46" s="97"/>
      <c r="G46" s="97"/>
      <c r="H46" s="97"/>
      <c r="I46" s="43" t="str">
        <f>IF(D46 = "", "REQUIRED", "COMPLETE")</f>
        <v>REQUIRED</v>
      </c>
    </row>
    <row r="47" spans="2:13" ht="24" x14ac:dyDescent="0.3">
      <c r="B47" s="118" t="s">
        <v>27</v>
      </c>
      <c r="C47" s="118"/>
      <c r="D47" s="97"/>
      <c r="E47" s="97"/>
      <c r="F47" s="97"/>
      <c r="G47" s="97"/>
      <c r="H47" s="97"/>
      <c r="I47" s="43" t="str">
        <f>IF(D24=Reference!U4, "NOT REQUIRED",IF(D47 = "", "REQUIRED", "COMPLETE"))</f>
        <v>REQUIRED</v>
      </c>
    </row>
    <row r="48" spans="2:13" ht="24" x14ac:dyDescent="0.3">
      <c r="B48" s="118" t="s">
        <v>124</v>
      </c>
      <c r="C48" s="118"/>
      <c r="D48" s="97"/>
      <c r="E48" s="97"/>
      <c r="F48" s="97"/>
      <c r="G48" s="97"/>
      <c r="H48" s="97"/>
      <c r="I48" s="73" t="str">
        <f>IF(D46 = "", "REQUIRED", IF( D24 = "", "COMPLETE",IF(OR(AND(D24 = Reference!U3,D46 = Reference!Y4),AND(D22 = Reference!F3,D46 = Reference!Y4)),"ERROR","COMPLETE")))</f>
        <v>REQUIRED</v>
      </c>
    </row>
    <row r="49" spans="2:9" ht="24" x14ac:dyDescent="0.3">
      <c r="B49" s="118" t="s">
        <v>144</v>
      </c>
      <c r="C49" s="118"/>
      <c r="D49" s="97"/>
      <c r="E49" s="97"/>
      <c r="F49" s="97"/>
      <c r="G49" s="97"/>
      <c r="H49" s="97"/>
      <c r="I49" s="48" t="str">
        <f xml:space="preserve"> IF(D49 = "", "REQUIRED", "COMPLETE")</f>
        <v>REQUIRED</v>
      </c>
    </row>
    <row r="50" spans="2:9" ht="24" x14ac:dyDescent="0.3">
      <c r="B50" s="120" t="s">
        <v>146</v>
      </c>
      <c r="C50" s="120"/>
      <c r="D50" s="97"/>
      <c r="E50" s="97"/>
      <c r="F50" s="97"/>
      <c r="G50" s="97"/>
      <c r="H50" s="97"/>
      <c r="I50" s="43" t="str">
        <f xml:space="preserve"> IF(D50 = "", "REQUIRED", "COMPLETE")</f>
        <v>REQUIRED</v>
      </c>
    </row>
    <row r="51" spans="2:9" ht="24" x14ac:dyDescent="0.3">
      <c r="B51" s="118" t="s">
        <v>145</v>
      </c>
      <c r="C51" s="118"/>
      <c r="D51" s="121"/>
      <c r="E51" s="121"/>
      <c r="F51" s="121"/>
      <c r="G51" s="121"/>
      <c r="H51" s="121"/>
      <c r="I51" s="48" t="str">
        <f>IF(D51 = "", "OPTIONAL", "COMPLETE")</f>
        <v>OPTIONAL</v>
      </c>
    </row>
    <row r="52" spans="2:9" ht="24" x14ac:dyDescent="0.3">
      <c r="B52" s="120" t="s">
        <v>147</v>
      </c>
      <c r="C52" s="120"/>
      <c r="D52" s="121"/>
      <c r="E52" s="121"/>
      <c r="F52" s="121"/>
      <c r="G52" s="121"/>
      <c r="H52" s="121"/>
      <c r="I52" s="43" t="str">
        <f>IF(D52 = "", "OPTIONAL", "COMPLETE")</f>
        <v>OPTIONAL</v>
      </c>
    </row>
    <row r="53" spans="2:9" ht="26" x14ac:dyDescent="0.3">
      <c r="B53" s="110" t="s">
        <v>125</v>
      </c>
      <c r="C53" s="111"/>
      <c r="D53" s="111"/>
      <c r="E53" s="111"/>
      <c r="F53" s="111"/>
      <c r="G53" s="111"/>
      <c r="H53" s="111"/>
      <c r="I53" s="112"/>
    </row>
    <row r="54" spans="2:9" ht="24" x14ac:dyDescent="0.3">
      <c r="B54" s="116" t="s">
        <v>126</v>
      </c>
      <c r="C54" s="116"/>
      <c r="D54" s="117"/>
      <c r="E54" s="117"/>
      <c r="F54" s="117"/>
      <c r="G54" s="117"/>
      <c r="H54" s="117"/>
      <c r="I54" s="43" t="str">
        <f ca="1">IF( D7 = "PROD", IF(D54 = "", "OPTIONAL", "COMPLETE"), "NOT REQUIRED")</f>
        <v>NOT REQUIRED</v>
      </c>
    </row>
    <row r="55" spans="2:9" ht="24" x14ac:dyDescent="0.3">
      <c r="B55" s="118" t="s">
        <v>127</v>
      </c>
      <c r="C55" s="118"/>
      <c r="D55" s="97"/>
      <c r="E55" s="97"/>
      <c r="F55" s="97"/>
      <c r="G55" s="97"/>
      <c r="H55" s="97"/>
      <c r="I55" s="43" t="str">
        <f ca="1">IF( D7 = "PROD", IF(D55 = "", "OPTIONAL", "COMPLETE"), "NOT REQUIRED")</f>
        <v>NOT REQUIRED</v>
      </c>
    </row>
    <row r="56" spans="2:9" ht="24" x14ac:dyDescent="0.3">
      <c r="B56" s="118" t="s">
        <v>128</v>
      </c>
      <c r="C56" s="118"/>
      <c r="D56" s="97"/>
      <c r="E56" s="97"/>
      <c r="F56" s="97"/>
      <c r="G56" s="97"/>
      <c r="H56" s="97"/>
      <c r="I56" s="43" t="str">
        <f ca="1">IF( D7 = "PROD", IF(D56 = "", "OPTIONAL", "COMPLETE"), "NOT REQUIRED")</f>
        <v>NOT REQUIRED</v>
      </c>
    </row>
    <row r="57" spans="2:9" ht="24" x14ac:dyDescent="0.3">
      <c r="B57" s="120" t="s">
        <v>129</v>
      </c>
      <c r="C57" s="120"/>
      <c r="D57" s="121"/>
      <c r="E57" s="121"/>
      <c r="F57" s="121"/>
      <c r="G57" s="121"/>
      <c r="H57" s="121"/>
      <c r="I57" s="43" t="str">
        <f ca="1">IF( D7 = "PROD", IF(D57 = "", "OPTIONAL", "COMPLETE"), "NOT REQUIRED")</f>
        <v>NOT REQUIRED</v>
      </c>
    </row>
    <row r="58" spans="2:9" ht="26" x14ac:dyDescent="0.2">
      <c r="B58" s="132" t="s">
        <v>130</v>
      </c>
      <c r="C58" s="133"/>
      <c r="D58" s="133"/>
      <c r="E58" s="133"/>
      <c r="F58" s="133"/>
      <c r="G58" s="133"/>
      <c r="H58" s="133"/>
      <c r="I58" s="134"/>
    </row>
    <row r="59" spans="2:9" ht="24" x14ac:dyDescent="0.3">
      <c r="B59" s="135" t="s">
        <v>131</v>
      </c>
      <c r="C59" s="135"/>
      <c r="D59" s="117"/>
      <c r="E59" s="117"/>
      <c r="F59" s="117"/>
      <c r="G59" s="117"/>
      <c r="H59" s="117"/>
      <c r="I59" s="43" t="str">
        <f t="shared" ref="I59:I64" si="0">IF($D$9="YES",IF(D59 = "", "REQUIRED", "COMPLETE"), "NOT REQUIRED")</f>
        <v>NOT REQUIRED</v>
      </c>
    </row>
    <row r="60" spans="2:9" ht="24" customHeight="1" x14ac:dyDescent="0.3">
      <c r="B60" s="131" t="s">
        <v>132</v>
      </c>
      <c r="C60" s="131"/>
      <c r="D60" s="97"/>
      <c r="E60" s="97"/>
      <c r="F60" s="97"/>
      <c r="G60" s="97"/>
      <c r="H60" s="97"/>
      <c r="I60" s="43" t="str">
        <f t="shared" si="0"/>
        <v>NOT REQUIRED</v>
      </c>
    </row>
    <row r="61" spans="2:9" ht="24" customHeight="1" x14ac:dyDescent="0.3">
      <c r="B61" s="131" t="s">
        <v>133</v>
      </c>
      <c r="C61" s="131"/>
      <c r="D61" s="97"/>
      <c r="E61" s="97"/>
      <c r="F61" s="97"/>
      <c r="G61" s="97"/>
      <c r="H61" s="97"/>
      <c r="I61" s="43" t="str">
        <f t="shared" si="0"/>
        <v>NOT REQUIRED</v>
      </c>
    </row>
    <row r="62" spans="2:9" ht="24" customHeight="1" x14ac:dyDescent="0.3">
      <c r="B62" s="131" t="s">
        <v>134</v>
      </c>
      <c r="C62" s="131"/>
      <c r="D62" s="97"/>
      <c r="E62" s="97"/>
      <c r="F62" s="97"/>
      <c r="G62" s="97"/>
      <c r="H62" s="97"/>
      <c r="I62" s="43" t="str">
        <f t="shared" si="0"/>
        <v>NOT REQUIRED</v>
      </c>
    </row>
    <row r="63" spans="2:9" ht="24" customHeight="1" x14ac:dyDescent="0.3">
      <c r="B63" s="131" t="s">
        <v>135</v>
      </c>
      <c r="C63" s="131"/>
      <c r="D63" s="97"/>
      <c r="E63" s="97"/>
      <c r="F63" s="97"/>
      <c r="G63" s="97"/>
      <c r="H63" s="97"/>
      <c r="I63" s="43" t="str">
        <f t="shared" si="0"/>
        <v>NOT REQUIRED</v>
      </c>
    </row>
    <row r="64" spans="2:9" ht="24" customHeight="1" x14ac:dyDescent="0.3">
      <c r="B64" s="120" t="s">
        <v>136</v>
      </c>
      <c r="C64" s="120"/>
      <c r="D64" s="66"/>
      <c r="E64" s="67"/>
      <c r="F64" s="68"/>
      <c r="G64" s="68"/>
      <c r="H64" s="68"/>
      <c r="I64" s="43" t="str">
        <f t="shared" si="0"/>
        <v>NOT REQUIRED</v>
      </c>
    </row>
    <row r="65" spans="2:9" ht="24" customHeight="1" x14ac:dyDescent="0.3">
      <c r="B65" s="110" t="s">
        <v>137</v>
      </c>
      <c r="C65" s="111"/>
      <c r="D65" s="111"/>
      <c r="E65" s="111"/>
      <c r="F65" s="111"/>
      <c r="G65" s="111"/>
      <c r="H65" s="111"/>
      <c r="I65" s="112"/>
    </row>
    <row r="66" spans="2:9" x14ac:dyDescent="0.2">
      <c r="B66" s="136" t="s">
        <v>138</v>
      </c>
      <c r="C66" s="136"/>
      <c r="D66" s="138"/>
      <c r="E66" s="139"/>
      <c r="F66" s="139"/>
      <c r="G66" s="139"/>
      <c r="H66" s="139"/>
      <c r="I66" s="140"/>
    </row>
    <row r="67" spans="2:9" ht="15" customHeight="1" x14ac:dyDescent="0.2">
      <c r="B67" s="137"/>
      <c r="C67" s="137"/>
      <c r="D67" s="141"/>
      <c r="E67" s="142"/>
      <c r="F67" s="142"/>
      <c r="G67" s="142"/>
      <c r="H67" s="142"/>
      <c r="I67" s="143"/>
    </row>
    <row r="68" spans="2:9" ht="15" customHeight="1" x14ac:dyDescent="0.2">
      <c r="B68" s="137"/>
      <c r="C68" s="137"/>
      <c r="D68" s="141"/>
      <c r="E68" s="142"/>
      <c r="F68" s="142"/>
      <c r="G68" s="142"/>
      <c r="H68" s="142"/>
      <c r="I68" s="143"/>
    </row>
    <row r="69" spans="2:9" ht="15" customHeight="1" x14ac:dyDescent="0.2">
      <c r="B69" s="137"/>
      <c r="C69" s="137"/>
      <c r="D69" s="144"/>
      <c r="E69" s="145"/>
      <c r="F69" s="145"/>
      <c r="G69" s="145"/>
      <c r="H69" s="145"/>
      <c r="I69" s="146"/>
    </row>
    <row r="70" spans="2:9" ht="15" customHeight="1" x14ac:dyDescent="0.2"/>
  </sheetData>
  <dataConsolidate/>
  <mergeCells count="106">
    <mergeCell ref="B66:C69"/>
    <mergeCell ref="D66:I69"/>
    <mergeCell ref="B62:C62"/>
    <mergeCell ref="D62:H62"/>
    <mergeCell ref="B63:C63"/>
    <mergeCell ref="D63:H63"/>
    <mergeCell ref="B64:C64"/>
    <mergeCell ref="B65:I65"/>
    <mergeCell ref="B61:C61"/>
    <mergeCell ref="D61:H61"/>
    <mergeCell ref="B55:C55"/>
    <mergeCell ref="D55:H55"/>
    <mergeCell ref="B56:C56"/>
    <mergeCell ref="D56:H56"/>
    <mergeCell ref="B57:C57"/>
    <mergeCell ref="D57:H57"/>
    <mergeCell ref="B58:I58"/>
    <mergeCell ref="B59:C59"/>
    <mergeCell ref="D59:H59"/>
    <mergeCell ref="B60:C60"/>
    <mergeCell ref="D60:H60"/>
    <mergeCell ref="B43:I43"/>
    <mergeCell ref="B44:C44"/>
    <mergeCell ref="D44:H44"/>
    <mergeCell ref="B45:C45"/>
    <mergeCell ref="D45:H45"/>
    <mergeCell ref="B54:C54"/>
    <mergeCell ref="D54:H54"/>
    <mergeCell ref="B46:C46"/>
    <mergeCell ref="D46:H46"/>
    <mergeCell ref="B47:C47"/>
    <mergeCell ref="D47:H47"/>
    <mergeCell ref="B48:C48"/>
    <mergeCell ref="D48:H48"/>
    <mergeCell ref="B49:C49"/>
    <mergeCell ref="D49:H49"/>
    <mergeCell ref="B51:C51"/>
    <mergeCell ref="D51:H51"/>
    <mergeCell ref="B50:C50"/>
    <mergeCell ref="D50:H50"/>
    <mergeCell ref="B52:C52"/>
    <mergeCell ref="D52:H52"/>
    <mergeCell ref="B53:I53"/>
    <mergeCell ref="B35:C37"/>
    <mergeCell ref="D35:H37"/>
    <mergeCell ref="I35:I37"/>
    <mergeCell ref="B38:I38"/>
    <mergeCell ref="D39:E39"/>
    <mergeCell ref="F39:H39"/>
    <mergeCell ref="I39:I42"/>
    <mergeCell ref="D40:E40"/>
    <mergeCell ref="F40:H40"/>
    <mergeCell ref="D41:E41"/>
    <mergeCell ref="F41:H41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B15:C15"/>
    <mergeCell ref="D15:H15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B22:C22"/>
    <mergeCell ref="D22:H22"/>
    <mergeCell ref="B32:C34"/>
    <mergeCell ref="D32:H34"/>
    <mergeCell ref="I32:I34"/>
    <mergeCell ref="B10:C10"/>
    <mergeCell ref="D10:H10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B14:C14"/>
    <mergeCell ref="D14:H14"/>
    <mergeCell ref="I14:I15"/>
  </mergeCells>
  <conditionalFormatting sqref="I5">
    <cfRule type="cellIs" dxfId="276" priority="140" operator="equal">
      <formula>"REQUIRED"</formula>
    </cfRule>
  </conditionalFormatting>
  <conditionalFormatting sqref="I44 I5:I9 I21:I23 I13:I15 I54:I57 I59:I64 I17:I19 I50 I46:I47 I52">
    <cfRule type="cellIs" dxfId="275" priority="134" operator="equal">
      <formula>"NOT REQUIRED"</formula>
    </cfRule>
    <cfRule type="containsText" dxfId="274" priority="136" operator="containsText" text="Warning">
      <formula>NOT(ISERROR(SEARCH("Warning",I5)))</formula>
    </cfRule>
    <cfRule type="cellIs" dxfId="273" priority="137" operator="equal">
      <formula>"Warning*"</formula>
    </cfRule>
    <cfRule type="cellIs" dxfId="272" priority="138" operator="equal">
      <formula>"COMPLETE"</formula>
    </cfRule>
    <cfRule type="cellIs" dxfId="271" priority="139" operator="equal">
      <formula>"REQUIRED"</formula>
    </cfRule>
  </conditionalFormatting>
  <conditionalFormatting sqref="I1:I2 I13:I15 I21:I23 I39:I42 I44 I54:I57 I59:I64 I70:I1048576 I17:I19 I50 I46:I47 I5:I9 I52">
    <cfRule type="containsText" dxfId="270" priority="133" operator="containsText" text="OPTIONAL">
      <formula>NOT(ISERROR(SEARCH("OPTIONAL",I1)))</formula>
    </cfRule>
    <cfRule type="containsText" dxfId="269" priority="135" operator="containsText" text="REQUIRED">
      <formula>NOT(ISERROR(SEARCH("REQUIRED",I1)))</formula>
    </cfRule>
  </conditionalFormatting>
  <conditionalFormatting sqref="I39:I42">
    <cfRule type="cellIs" dxfId="268" priority="132" operator="equal">
      <formula>"COMPLETE"</formula>
    </cfRule>
  </conditionalFormatting>
  <conditionalFormatting sqref="I24">
    <cfRule type="cellIs" dxfId="267" priority="126" operator="equal">
      <formula>"NOT REQUIRED"</formula>
    </cfRule>
    <cfRule type="containsText" dxfId="266" priority="128" operator="containsText" text="Warning">
      <formula>NOT(ISERROR(SEARCH("Warning",I24)))</formula>
    </cfRule>
    <cfRule type="cellIs" dxfId="265" priority="129" operator="equal">
      <formula>"Warning*"</formula>
    </cfRule>
    <cfRule type="cellIs" dxfId="264" priority="130" operator="equal">
      <formula>"COMPLETE"</formula>
    </cfRule>
    <cfRule type="cellIs" dxfId="263" priority="131" operator="equal">
      <formula>"REQUIRED"</formula>
    </cfRule>
  </conditionalFormatting>
  <conditionalFormatting sqref="I24">
    <cfRule type="containsText" dxfId="262" priority="125" operator="containsText" text="OPTIONAL">
      <formula>NOT(ISERROR(SEARCH("OPTIONAL",I24)))</formula>
    </cfRule>
    <cfRule type="containsText" dxfId="261" priority="127" operator="containsText" text="REQUIRED">
      <formula>NOT(ISERROR(SEARCH("REQUIRED",I24)))</formula>
    </cfRule>
  </conditionalFormatting>
  <conditionalFormatting sqref="I45">
    <cfRule type="cellIs" dxfId="260" priority="119" operator="equal">
      <formula>"NOT REQUIRED"</formula>
    </cfRule>
    <cfRule type="containsText" dxfId="259" priority="121" operator="containsText" text="Warning">
      <formula>NOT(ISERROR(SEARCH("Warning",I45)))</formula>
    </cfRule>
    <cfRule type="cellIs" dxfId="258" priority="122" operator="equal">
      <formula>"Warning*"</formula>
    </cfRule>
    <cfRule type="cellIs" dxfId="257" priority="123" operator="equal">
      <formula>"COMPLETE"</formula>
    </cfRule>
    <cfRule type="cellIs" dxfId="256" priority="124" operator="equal">
      <formula>"REQUIRED"</formula>
    </cfRule>
  </conditionalFormatting>
  <conditionalFormatting sqref="I45">
    <cfRule type="containsText" dxfId="255" priority="118" operator="containsText" text="OPTIONAL">
      <formula>NOT(ISERROR(SEARCH("OPTIONAL",I45)))</formula>
    </cfRule>
    <cfRule type="containsText" dxfId="254" priority="120" operator="containsText" text="REQUIRED">
      <formula>NOT(ISERROR(SEARCH("REQUIRED",I45)))</formula>
    </cfRule>
  </conditionalFormatting>
  <conditionalFormatting sqref="I48">
    <cfRule type="cellIs" dxfId="253" priority="112" operator="equal">
      <formula>"NOT REQUIRED"</formula>
    </cfRule>
    <cfRule type="cellIs" dxfId="252" priority="115" operator="equal">
      <formula>"Warning*"</formula>
    </cfRule>
    <cfRule type="cellIs" dxfId="251" priority="116" operator="equal">
      <formula>"COMPLETE"</formula>
    </cfRule>
    <cfRule type="cellIs" dxfId="250" priority="117" operator="equal">
      <formula>"REQUIRED"</formula>
    </cfRule>
  </conditionalFormatting>
  <conditionalFormatting sqref="I48">
    <cfRule type="containsText" dxfId="249" priority="111" operator="containsText" text="OPTIONAL">
      <formula>NOT(ISERROR(SEARCH("OPTIONAL",I48)))</formula>
    </cfRule>
    <cfRule type="containsText" dxfId="248" priority="113" operator="containsText" text="REQUIRED">
      <formula>NOT(ISERROR(SEARCH("REQUIRED",I48)))</formula>
    </cfRule>
  </conditionalFormatting>
  <conditionalFormatting sqref="I2">
    <cfRule type="containsText" dxfId="247" priority="109" operator="containsText" text="OPTIONAL">
      <formula>NOT(ISERROR(SEARCH("OPTIONAL",I2)))</formula>
    </cfRule>
    <cfRule type="containsText" dxfId="246" priority="110" operator="containsText" text="REQUIRED">
      <formula>NOT(ISERROR(SEARCH("REQUIRED",I2)))</formula>
    </cfRule>
  </conditionalFormatting>
  <conditionalFormatting sqref="I3">
    <cfRule type="cellIs" dxfId="245" priority="101" operator="equal">
      <formula>"COMPLETE"</formula>
    </cfRule>
    <cfRule type="containsText" dxfId="244" priority="102" operator="containsText" text="INCOMPLETE">
      <formula>NOT(ISERROR(SEARCH("INCOMPLETE",I3)))</formula>
    </cfRule>
    <cfRule type="containsText" dxfId="243" priority="107" operator="containsText" text="OPTIONAL">
      <formula>NOT(ISERROR(SEARCH("OPTIONAL",I3)))</formula>
    </cfRule>
    <cfRule type="containsText" dxfId="242" priority="108" operator="containsText" text="REQUIRED">
      <formula>NOT(ISERROR(SEARCH("REQUIRED",I3)))</formula>
    </cfRule>
  </conditionalFormatting>
  <conditionalFormatting sqref="I4">
    <cfRule type="containsText" dxfId="241" priority="105" operator="containsText" text="OPTIONAL">
      <formula>NOT(ISERROR(SEARCH("OPTIONAL",I4)))</formula>
    </cfRule>
    <cfRule type="containsText" dxfId="240" priority="106" operator="containsText" text="REQUIRED">
      <formula>NOT(ISERROR(SEARCH("REQUIRED",I4)))</formula>
    </cfRule>
  </conditionalFormatting>
  <conditionalFormatting sqref="I4">
    <cfRule type="containsText" dxfId="239" priority="103" operator="containsText" text="OPTIONAL">
      <formula>NOT(ISERROR(SEARCH("OPTIONAL",I4)))</formula>
    </cfRule>
    <cfRule type="containsText" dxfId="238" priority="104" operator="containsText" text="REQUIRED">
      <formula>NOT(ISERROR(SEARCH("REQUIRED",I4)))</formula>
    </cfRule>
  </conditionalFormatting>
  <conditionalFormatting sqref="D5:I6 D38:I48 D11:I24 D8:I9 I7 D50:I50 D52:I64">
    <cfRule type="containsText" dxfId="237" priority="114" operator="containsText" text="ERROR">
      <formula>NOT(ISERROR(SEARCH("ERROR",D5)))</formula>
    </cfRule>
  </conditionalFormatting>
  <conditionalFormatting sqref="D5:H6 D38:H48 D11:H24 D8:H9 D50:H50 D52:H64">
    <cfRule type="expression" dxfId="236" priority="99">
      <formula>$I5="ERROR"</formula>
    </cfRule>
    <cfRule type="expression" dxfId="235" priority="100">
      <formula>$I5="NOT REQUIRED"</formula>
    </cfRule>
  </conditionalFormatting>
  <conditionalFormatting sqref="I25">
    <cfRule type="containsText" dxfId="234" priority="88" operator="containsText" text="ERROR">
      <formula>NOT(ISERROR(SEARCH("ERROR",I25)))</formula>
    </cfRule>
  </conditionalFormatting>
  <conditionalFormatting sqref="D25:H25">
    <cfRule type="containsText" dxfId="233" priority="98" operator="containsText" text="ERROR">
      <formula>NOT(ISERROR(SEARCH("ERROR",D25)))</formula>
    </cfRule>
  </conditionalFormatting>
  <conditionalFormatting sqref="D25:H25">
    <cfRule type="expression" dxfId="232" priority="96">
      <formula>$I25="ERROR"</formula>
    </cfRule>
    <cfRule type="expression" dxfId="231" priority="97">
      <formula>$I25="NOT REQUIRED"</formula>
    </cfRule>
  </conditionalFormatting>
  <conditionalFormatting sqref="I25">
    <cfRule type="cellIs" dxfId="230" priority="90" operator="equal">
      <formula>"NOT REQUIRED"</formula>
    </cfRule>
    <cfRule type="containsText" dxfId="229" priority="92" operator="containsText" text="Warning">
      <formula>NOT(ISERROR(SEARCH("Warning",I25)))</formula>
    </cfRule>
    <cfRule type="cellIs" dxfId="228" priority="93" operator="equal">
      <formula>"Warning*"</formula>
    </cfRule>
    <cfRule type="cellIs" dxfId="227" priority="94" operator="equal">
      <formula>"COMPLETE"</formula>
    </cfRule>
    <cfRule type="cellIs" dxfId="226" priority="95" operator="equal">
      <formula>"REQUIRED"</formula>
    </cfRule>
  </conditionalFormatting>
  <conditionalFormatting sqref="I25">
    <cfRule type="containsText" dxfId="225" priority="89" operator="containsText" text="OPTIONAL">
      <formula>NOT(ISERROR(SEARCH("OPTIONAL",I25)))</formula>
    </cfRule>
    <cfRule type="containsText" dxfId="224" priority="91" operator="containsText" text="REQUIRED">
      <formula>NOT(ISERROR(SEARCH("REQUIRED",I25)))</formula>
    </cfRule>
  </conditionalFormatting>
  <conditionalFormatting sqref="I10">
    <cfRule type="cellIs" dxfId="223" priority="82" operator="equal">
      <formula>"NOT REQUIRED"</formula>
    </cfRule>
    <cfRule type="containsText" dxfId="222" priority="84" operator="containsText" text="Warning">
      <formula>NOT(ISERROR(SEARCH("Warning",I10)))</formula>
    </cfRule>
    <cfRule type="cellIs" dxfId="221" priority="85" operator="equal">
      <formula>"Warning*"</formula>
    </cfRule>
    <cfRule type="cellIs" dxfId="220" priority="86" operator="equal">
      <formula>"COMPLETE"</formula>
    </cfRule>
    <cfRule type="cellIs" dxfId="219" priority="87" operator="equal">
      <formula>"REQUIRED"</formula>
    </cfRule>
  </conditionalFormatting>
  <conditionalFormatting sqref="I10">
    <cfRule type="containsText" dxfId="218" priority="81" operator="containsText" text="OPTIONAL">
      <formula>NOT(ISERROR(SEARCH("OPTIONAL",I10)))</formula>
    </cfRule>
    <cfRule type="containsText" dxfId="217" priority="83" operator="containsText" text="REQUIRED">
      <formula>NOT(ISERROR(SEARCH("REQUIRED",I10)))</formula>
    </cfRule>
  </conditionalFormatting>
  <conditionalFormatting sqref="D10:I10">
    <cfRule type="containsText" dxfId="216" priority="80" operator="containsText" text="ERROR">
      <formula>NOT(ISERROR(SEARCH("ERROR",D10)))</formula>
    </cfRule>
  </conditionalFormatting>
  <conditionalFormatting sqref="D10:H10">
    <cfRule type="expression" dxfId="215" priority="78">
      <formula>$I10="ERROR"</formula>
    </cfRule>
    <cfRule type="expression" dxfId="214" priority="79">
      <formula>$I10="NOT REQUIRED"</formula>
    </cfRule>
  </conditionalFormatting>
  <conditionalFormatting sqref="D7">
    <cfRule type="containsText" dxfId="213" priority="77" operator="containsText" text="ERROR">
      <formula>NOT(ISERROR(SEARCH("ERROR",D7)))</formula>
    </cfRule>
  </conditionalFormatting>
  <conditionalFormatting sqref="D7">
    <cfRule type="expression" dxfId="212" priority="75">
      <formula>$I7="ERROR"</formula>
    </cfRule>
    <cfRule type="expression" dxfId="211" priority="76">
      <formula>$I7="NOT REQUIRED"</formula>
    </cfRule>
  </conditionalFormatting>
  <conditionalFormatting sqref="D28:D30 F29:H29">
    <cfRule type="expression" dxfId="210" priority="73">
      <formula>$I28="ERROR"</formula>
    </cfRule>
    <cfRule type="expression" dxfId="209" priority="74">
      <formula>$I28="NOT REQUIRED"</formula>
    </cfRule>
  </conditionalFormatting>
  <conditionalFormatting sqref="I26">
    <cfRule type="cellIs" dxfId="208" priority="67" operator="equal">
      <formula>"NOT REQUIRED"</formula>
    </cfRule>
    <cfRule type="containsText" dxfId="207" priority="69" operator="containsText" text="Warning">
      <formula>NOT(ISERROR(SEARCH("Warning",I26)))</formula>
    </cfRule>
    <cfRule type="cellIs" dxfId="206" priority="70" operator="equal">
      <formula>"Warning*"</formula>
    </cfRule>
    <cfRule type="cellIs" dxfId="205" priority="71" operator="equal">
      <formula>"COMPLETE"</formula>
    </cfRule>
    <cfRule type="cellIs" dxfId="204" priority="72" operator="equal">
      <formula>"REQUIRED"</formula>
    </cfRule>
  </conditionalFormatting>
  <conditionalFormatting sqref="I26">
    <cfRule type="containsText" dxfId="203" priority="66" operator="containsText" text="OPTIONAL">
      <formula>NOT(ISERROR(SEARCH("OPTIONAL",I26)))</formula>
    </cfRule>
    <cfRule type="containsText" dxfId="202" priority="68" operator="containsText" text="REQUIRED">
      <formula>NOT(ISERROR(SEARCH("REQUIRED",I26)))</formula>
    </cfRule>
  </conditionalFormatting>
  <conditionalFormatting sqref="D26">
    <cfRule type="containsText" dxfId="201" priority="65" operator="containsText" text="ENABLE">
      <formula>NOT(ISERROR(SEARCH("ENABLE",D26)))</formula>
    </cfRule>
  </conditionalFormatting>
  <conditionalFormatting sqref="I27">
    <cfRule type="cellIs" dxfId="200" priority="59" operator="equal">
      <formula>"NOT REQUIRED"</formula>
    </cfRule>
    <cfRule type="containsText" dxfId="199" priority="61" operator="containsText" text="Warning">
      <formula>NOT(ISERROR(SEARCH("Warning",I27)))</formula>
    </cfRule>
    <cfRule type="cellIs" dxfId="198" priority="62" operator="equal">
      <formula>"Warning*"</formula>
    </cfRule>
    <cfRule type="cellIs" dxfId="197" priority="63" operator="equal">
      <formula>"COMPLETE"</formula>
    </cfRule>
    <cfRule type="cellIs" dxfId="196" priority="64" operator="equal">
      <formula>"REQUIRED"</formula>
    </cfRule>
  </conditionalFormatting>
  <conditionalFormatting sqref="I27">
    <cfRule type="containsText" dxfId="195" priority="58" operator="containsText" text="OPTIONAL">
      <formula>NOT(ISERROR(SEARCH("OPTIONAL",I27)))</formula>
    </cfRule>
    <cfRule type="containsText" dxfId="194" priority="60" operator="containsText" text="REQUIRED">
      <formula>NOT(ISERROR(SEARCH("REQUIRED",I27)))</formula>
    </cfRule>
  </conditionalFormatting>
  <conditionalFormatting sqref="D27:I27">
    <cfRule type="containsText" dxfId="193" priority="57" operator="containsText" text="ERROR">
      <formula>NOT(ISERROR(SEARCH("ERROR",D27)))</formula>
    </cfRule>
  </conditionalFormatting>
  <conditionalFormatting sqref="D27:H27">
    <cfRule type="expression" dxfId="192" priority="55">
      <formula>$I27="ERROR"</formula>
    </cfRule>
    <cfRule type="expression" dxfId="191" priority="56">
      <formula>$I27="NOT REQUIRED"</formula>
    </cfRule>
  </conditionalFormatting>
  <conditionalFormatting sqref="I30:I31 D28:D30 F29:I29">
    <cfRule type="containsText" dxfId="190" priority="51" operator="containsText" text="ERROR">
      <formula>NOT(ISERROR(SEARCH("ERROR",D28)))</formula>
    </cfRule>
  </conditionalFormatting>
  <conditionalFormatting sqref="I29:I31">
    <cfRule type="containsText" dxfId="189" priority="53" operator="containsText" text="OPTIONAL">
      <formula>NOT(ISERROR(SEARCH("OPTIONAL",I29)))</formula>
    </cfRule>
    <cfRule type="containsText" dxfId="188" priority="54" operator="containsText" text="REQUIRED">
      <formula>NOT(ISERROR(SEARCH("REQUIRED",I29)))</formula>
    </cfRule>
  </conditionalFormatting>
  <conditionalFormatting sqref="I29:I31">
    <cfRule type="cellIs" dxfId="187" priority="52" operator="equal">
      <formula>"COMPLETE"</formula>
    </cfRule>
  </conditionalFormatting>
  <conditionalFormatting sqref="I28">
    <cfRule type="cellIs" dxfId="186" priority="45" operator="equal">
      <formula>"NOT REQUIRED"</formula>
    </cfRule>
    <cfRule type="containsText" dxfId="185" priority="47" operator="containsText" text="Warning">
      <formula>NOT(ISERROR(SEARCH("Warning",I28)))</formula>
    </cfRule>
    <cfRule type="cellIs" dxfId="184" priority="48" operator="equal">
      <formula>"Warning*"</formula>
    </cfRule>
    <cfRule type="cellIs" dxfId="183" priority="49" operator="equal">
      <formula>"COMPLETE"</formula>
    </cfRule>
    <cfRule type="cellIs" dxfId="182" priority="50" operator="equal">
      <formula>"REQUIRED"</formula>
    </cfRule>
  </conditionalFormatting>
  <conditionalFormatting sqref="I28">
    <cfRule type="containsText" dxfId="181" priority="44" operator="containsText" text="OPTIONAL">
      <formula>NOT(ISERROR(SEARCH("OPTIONAL",I28)))</formula>
    </cfRule>
    <cfRule type="containsText" dxfId="180" priority="46" operator="containsText" text="REQUIRED">
      <formula>NOT(ISERROR(SEARCH("REQUIRED",I28)))</formula>
    </cfRule>
  </conditionalFormatting>
  <conditionalFormatting sqref="I28">
    <cfRule type="containsText" dxfId="179" priority="43" operator="containsText" text="ERROR">
      <formula>NOT(ISERROR(SEARCH("ERROR",I28)))</formula>
    </cfRule>
  </conditionalFormatting>
  <conditionalFormatting sqref="D35">
    <cfRule type="containsText" dxfId="178" priority="42" operator="containsText" text="ERROR">
      <formula>NOT(ISERROR(SEARCH("ERROR",D35)))</formula>
    </cfRule>
  </conditionalFormatting>
  <conditionalFormatting sqref="D35">
    <cfRule type="expression" dxfId="177" priority="40">
      <formula>$I35="ERROR"</formula>
    </cfRule>
    <cfRule type="expression" dxfId="176" priority="41">
      <formula>$I35="NOT REQUIRED"</formula>
    </cfRule>
  </conditionalFormatting>
  <conditionalFormatting sqref="I35">
    <cfRule type="cellIs" dxfId="175" priority="34" operator="equal">
      <formula>"NOT REQUIRED"</formula>
    </cfRule>
    <cfRule type="containsText" dxfId="174" priority="36" operator="containsText" text="Warning">
      <formula>NOT(ISERROR(SEARCH("Warning",I35)))</formula>
    </cfRule>
    <cfRule type="cellIs" dxfId="173" priority="37" operator="equal">
      <formula>"Warning*"</formula>
    </cfRule>
    <cfRule type="cellIs" dxfId="172" priority="38" operator="equal">
      <formula>"COMPLETE"</formula>
    </cfRule>
    <cfRule type="cellIs" dxfId="171" priority="39" operator="equal">
      <formula>"REQUIRED"</formula>
    </cfRule>
  </conditionalFormatting>
  <conditionalFormatting sqref="I35">
    <cfRule type="containsText" dxfId="170" priority="33" operator="containsText" text="OPTIONAL">
      <formula>NOT(ISERROR(SEARCH("OPTIONAL",I35)))</formula>
    </cfRule>
    <cfRule type="containsText" dxfId="169" priority="35" operator="containsText" text="REQUIRED">
      <formula>NOT(ISERROR(SEARCH("REQUIRED",I35)))</formula>
    </cfRule>
  </conditionalFormatting>
  <conditionalFormatting sqref="I35">
    <cfRule type="containsText" dxfId="168" priority="32" operator="containsText" text="ERROR">
      <formula>NOT(ISERROR(SEARCH("ERROR",I35)))</formula>
    </cfRule>
  </conditionalFormatting>
  <conditionalFormatting sqref="I49">
    <cfRule type="cellIs" dxfId="167" priority="26" operator="equal">
      <formula>"NOT REQUIRED"</formula>
    </cfRule>
    <cfRule type="containsText" dxfId="166" priority="28" operator="containsText" text="Warning">
      <formula>NOT(ISERROR(SEARCH("Warning",I49)))</formula>
    </cfRule>
    <cfRule type="cellIs" dxfId="165" priority="29" operator="equal">
      <formula>"Warning*"</formula>
    </cfRule>
    <cfRule type="cellIs" dxfId="164" priority="30" operator="equal">
      <formula>"COMPLETE"</formula>
    </cfRule>
    <cfRule type="cellIs" dxfId="163" priority="31" operator="equal">
      <formula>"REQUIRED"</formula>
    </cfRule>
  </conditionalFormatting>
  <conditionalFormatting sqref="I49">
    <cfRule type="containsText" dxfId="162" priority="25" operator="containsText" text="OPTIONAL">
      <formula>NOT(ISERROR(SEARCH("OPTIONAL",I49)))</formula>
    </cfRule>
    <cfRule type="containsText" dxfId="161" priority="27" operator="containsText" text="REQUIRED">
      <formula>NOT(ISERROR(SEARCH("REQUIRED",I49)))</formula>
    </cfRule>
  </conditionalFormatting>
  <conditionalFormatting sqref="D49:I49">
    <cfRule type="containsText" dxfId="160" priority="24" operator="containsText" text="ERROR">
      <formula>NOT(ISERROR(SEARCH("ERROR",D49)))</formula>
    </cfRule>
  </conditionalFormatting>
  <conditionalFormatting sqref="D49:H49">
    <cfRule type="expression" dxfId="159" priority="22">
      <formula>$I49="ERROR"</formula>
    </cfRule>
    <cfRule type="expression" dxfId="158" priority="23">
      <formula>$I49="NOT REQUIRED"</formula>
    </cfRule>
  </conditionalFormatting>
  <conditionalFormatting sqref="I51">
    <cfRule type="cellIs" dxfId="157" priority="16" operator="equal">
      <formula>"NOT REQUIRED"</formula>
    </cfRule>
    <cfRule type="containsText" dxfId="156" priority="18" operator="containsText" text="Warning">
      <formula>NOT(ISERROR(SEARCH("Warning",I51)))</formula>
    </cfRule>
    <cfRule type="cellIs" dxfId="155" priority="19" operator="equal">
      <formula>"Warning*"</formula>
    </cfRule>
    <cfRule type="cellIs" dxfId="154" priority="20" operator="equal">
      <formula>"COMPLETE"</formula>
    </cfRule>
    <cfRule type="cellIs" dxfId="153" priority="21" operator="equal">
      <formula>"REQUIRED"</formula>
    </cfRule>
  </conditionalFormatting>
  <conditionalFormatting sqref="I51">
    <cfRule type="containsText" dxfId="152" priority="15" operator="containsText" text="OPTIONAL">
      <formula>NOT(ISERROR(SEARCH("OPTIONAL",I51)))</formula>
    </cfRule>
    <cfRule type="containsText" dxfId="151" priority="17" operator="containsText" text="REQUIRED">
      <formula>NOT(ISERROR(SEARCH("REQUIRED",I51)))</formula>
    </cfRule>
  </conditionalFormatting>
  <conditionalFormatting sqref="D51:I51">
    <cfRule type="containsText" dxfId="150" priority="14" operator="containsText" text="ERROR">
      <formula>NOT(ISERROR(SEARCH("ERROR",D51)))</formula>
    </cfRule>
  </conditionalFormatting>
  <conditionalFormatting sqref="D51:H51">
    <cfRule type="expression" dxfId="149" priority="12">
      <formula>$I51="ERROR"</formula>
    </cfRule>
    <cfRule type="expression" dxfId="148" priority="13">
      <formula>$I51="NOT REQUIRED"</formula>
    </cfRule>
  </conditionalFormatting>
  <conditionalFormatting sqref="D32">
    <cfRule type="containsText" dxfId="147" priority="11" operator="containsText" text="ERROR">
      <formula>NOT(ISERROR(SEARCH("ERROR",D32)))</formula>
    </cfRule>
  </conditionalFormatting>
  <conditionalFormatting sqref="D32">
    <cfRule type="expression" dxfId="146" priority="9">
      <formula>$I32="ERROR"</formula>
    </cfRule>
    <cfRule type="expression" dxfId="145" priority="10">
      <formula>$I32="NOT REQUIRED"</formula>
    </cfRule>
  </conditionalFormatting>
  <conditionalFormatting sqref="I32">
    <cfRule type="cellIs" dxfId="144" priority="3" operator="equal">
      <formula>"NOT REQUIRED"</formula>
    </cfRule>
    <cfRule type="containsText" dxfId="143" priority="5" operator="containsText" text="Warning">
      <formula>NOT(ISERROR(SEARCH("Warning",I32)))</formula>
    </cfRule>
    <cfRule type="cellIs" dxfId="142" priority="6" operator="equal">
      <formula>"Warning*"</formula>
    </cfRule>
    <cfRule type="cellIs" dxfId="141" priority="7" operator="equal">
      <formula>"COMPLETE"</formula>
    </cfRule>
    <cfRule type="cellIs" dxfId="140" priority="8" operator="equal">
      <formula>"REQUIRED"</formula>
    </cfRule>
  </conditionalFormatting>
  <conditionalFormatting sqref="I32">
    <cfRule type="containsText" dxfId="139" priority="2" operator="containsText" text="OPTIONAL">
      <formula>NOT(ISERROR(SEARCH("OPTIONAL",I32)))</formula>
    </cfRule>
    <cfRule type="containsText" dxfId="138" priority="4" operator="containsText" text="REQUIRED">
      <formula>NOT(ISERROR(SEARCH("REQUIRED",I32)))</formula>
    </cfRule>
  </conditionalFormatting>
  <conditionalFormatting sqref="I32">
    <cfRule type="containsText" dxfId="137" priority="1" operator="containsText" text="ERROR">
      <formula>NOT(ISERROR(SEARCH("ERROR",I32)))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2121768B-EE8E-9D48-93AB-87682DB711A4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7" xr:uid="{62BA0353-ADDA-B74D-9F20-8460EA288B26}"/>
    <dataValidation allowBlank="1" showInputMessage="1" showErrorMessage="1" promptTitle="Affiliation" prompt=" If you would like to share a NameID across multiple applications, please provide the entityID for the application you wish to be affiliated with. " sqref="D27:H27" xr:uid="{FC0FF16F-C74C-7446-8A9A-E5C8C656B37F}"/>
    <dataValidation allowBlank="1" showInputMessage="1" showErrorMessage="1" prompt="If an ERROR appears it is likely because SAML applications must have the Application Type set to Confidential._x000a_" sqref="I24" xr:uid="{F7FAB526-40E2-3E46-A5BB-0988F992EF31}"/>
    <dataValidation allowBlank="1" showInputMessage="1" showErrorMessage="1" prompt="If an ERROR appears it is likely because:_x000a_SAML metadata must be .XML_x000a_OIDC and Confidential must be .TXT_x000a_OIDC and Public must be .TXT or .JSON_x000a_" sqref="I45" xr:uid="{6223EF7D-1DF9-6848-8F46-11304B3AFC80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8" xr:uid="{DA024625-C912-4949-A83E-1BC4CB70F183}"/>
    <dataValidation allowBlank="1" showInputMessage="1" showErrorMessage="1" promptTitle="Application URL" prompt="Please provide the URL for the RP Application." sqref="D23:H23" xr:uid="{ACD83FF1-33D0-4E4A-9604-B8085628E6D9}"/>
  </dataValidations>
  <hyperlinks>
    <hyperlink ref="B63" r:id="rId1" display="mailto:Perry.Hamilton@novascotia.ca" xr:uid="{F7F58797-BED9-A54E-BFD7-61AA8B608641}"/>
    <hyperlink ref="B61" r:id="rId2" display="tel:(902) 667-6285" xr:uid="{46D699A4-D49F-4E4E-AB4B-FD7670F6B582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MyNSID Native Login" prompt="This will allow users with a MyNSID credential to access the application." xr:uid="{79A1D233-C5A1-C04E-878B-3795E500504E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1237B821-2FF1-3045-A7FC-FA1E014FD06B}">
          <x14:formula1>
            <xm:f>Reference!$S$7:$S$8</xm:f>
          </x14:formula1>
          <xm:sqref>C28</xm:sqref>
        </x14:dataValidation>
        <x14:dataValidation type="list" allowBlank="1" showInputMessage="1" showErrorMessage="1" promptTitle="Account Creation Button" prompt="Disabling the account creation button will restrict access to non-invited users." xr:uid="{8C3E772B-500A-764C-B756-9E406AD6CB32}">
          <x14:formula1>
            <xm:f>Reference!$S$3:$S$4</xm:f>
          </x14:formula1>
          <xm:sqref>F29:H29</xm:sqref>
        </x14:dataValidation>
        <x14:dataValidation type="list" allowBlank="1" showInputMessage="1" showErrorMessage="1" promptTitle="Gov ADFS" prompt="This will allow users belonging to the Government ADFS to access the application." xr:uid="{B31D6A1F-E309-C248-A59E-653A3AC328AD}">
          <x14:formula1>
            <xm:f>Reference!$S$3:$S$4</xm:f>
          </x14:formula1>
          <xm:sqref>C30</xm:sqref>
        </x14:dataValidation>
        <x14:dataValidation type="list" allowBlank="1" showInputMessage="1" showErrorMessage="1" promptTitle="Health ADFS" prompt="This will allow users belonging to the Health ADFS to access the application." xr:uid="{76A28A40-BEE8-504C-8C75-40FB5CDFEE58}">
          <x14:formula1>
            <xm:f>Reference!$S$3:$S$4</xm:f>
          </x14:formula1>
          <xm:sqref>C31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09101B14-7CDC-4847-8D14-1944B5D0E872}">
          <x14:formula1>
            <xm:f>Reference!$F$8:$F$9</xm:f>
          </x14:formula1>
          <xm:sqref>D26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E916E8C2-04BB-5A4F-95BC-17B1021FAD1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xr:uid="{9EEA9E00-7784-AC48-A904-87D863F3DAC3}">
          <x14:formula1>
            <xm:f>Reference!$Y$3:$Y$4</xm:f>
          </x14:formula1>
          <xm:sqref>D48:H48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41D9E907-4945-2045-88AF-C68E7C63C9EB}">
          <x14:formula1>
            <xm:f>Reference!$U$3:$U$4</xm:f>
          </x14:formula1>
          <xm:sqref>D24:H24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3244E924-CFE0-CD4A-B062-48DDE62B75DC}">
          <x14:formula1>
            <xm:f>Reference!$S$3:$S$4</xm:f>
          </x14:formula1>
          <xm:sqref>F41:H41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20558C4F-11CF-0049-8DEF-53B1C7D09420}">
          <x14:formula1>
            <xm:f>Reference!$S$3:$S$4</xm:f>
          </x14:formula1>
          <xm:sqref>F40:H40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47E871DC-1379-5243-9B24-7C791777F0E9}">
          <x14:formula1>
            <xm:f>Reference!$S$3:$S$4</xm:f>
          </x14:formula1>
          <xm:sqref>F39:H39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00B0BE7E-59FE-AF49-A465-FDC6F75498A9}">
          <x14:formula1>
            <xm:f>Reference!$S$3:$S$4</xm:f>
          </x14:formula1>
          <xm:sqref>C41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033E0243-E01A-7544-BCA6-FCFCF51BF5D1}">
          <x14:formula1>
            <xm:f>Reference!$S$3:$S$4</xm:f>
          </x14:formula1>
          <xm:sqref>C40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926CAE85-3690-D345-93A7-5C1BDDD7281F}">
          <x14:formula1>
            <xm:f>Reference!$S$3:$S$4</xm:f>
          </x14:formula1>
          <xm:sqref>C39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773DCEE7-59D7-B047-96BD-6094F687675E}">
          <x14:formula1>
            <xm:f>Reference!$L$4:$L$15</xm:f>
          </x14:formula1>
          <xm:sqref>D8</xm:sqref>
        </x14:dataValidation>
        <x14:dataValidation type="list" errorStyle="information" allowBlank="1" showInputMessage="1" promptTitle="Select a date" prompt="The default date/time is based on the requested deployment date." xr:uid="{7301B02A-C963-5E4F-9997-B29DA4B76733}">
          <x14:formula1>
            <xm:f>Reference!$L$4:$L$15</xm:f>
          </x14:formula1>
          <xm:sqref>D64</xm:sqref>
        </x14:dataValidation>
        <x14:dataValidation type="list" allowBlank="1" showInputMessage="1" promptTitle="Minute" prompt="The default date/time is based on the requested deployment date." xr:uid="{D891D384-A099-8A41-AD84-3B3705778165}">
          <x14:formula1>
            <xm:f>Reference!$O$4:$O$7</xm:f>
          </x14:formula1>
          <xm:sqref>F64</xm:sqref>
        </x14:dataValidation>
        <x14:dataValidation type="list" allowBlank="1" showInputMessage="1" showErrorMessage="1" promptTitle="Please select one." xr:uid="{60985C92-6756-C64C-AED4-C319DFFA9866}">
          <x14:formula1>
            <xm:f>Reference!$F$3:$F$4</xm:f>
          </x14:formula1>
          <xm:sqref>D22:H22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143FF1C5-9083-E544-A3A1-F1BC3FF1295F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D04A9DEC-1B5D-AD4B-BB15-24D52AB57B5B}">
          <x14:formula1>
            <xm:f>Reference!$B$3:$B$5</xm:f>
          </x14:formula1>
          <xm:sqref>D47:H47</xm:sqref>
        </x14:dataValidation>
        <x14:dataValidation type="list" allowBlank="1" showInputMessage="1" showErrorMessage="1" promptTitle="Timezone" prompt="Select the timezone" xr:uid="{051F5F03-6B4B-F841-9833-1C0242464E21}">
          <x14:formula1>
            <xm:f>Reference!$Q$4:$Q$5</xm:f>
          </x14:formula1>
          <xm:sqref>H8</xm:sqref>
        </x14:dataValidation>
        <x14:dataValidation type="list" allowBlank="1" showInputMessage="1" promptTitle="Timezone" prompt="The default date/time is based on the requested deployment date." xr:uid="{6CFA24E9-07BB-D54B-BBFD-FF4A76C8A57B}">
          <x14:formula1>
            <xm:f>Reference!$Q$4:$Q$5</xm:f>
          </x14:formula1>
          <xm:sqref>H64</xm:sqref>
        </x14:dataValidation>
        <x14:dataValidation type="list" allowBlank="1" showInputMessage="1" promptTitle="AM/PM" prompt="The default date/time is based on the requested deployment date." xr:uid="{92A0FB2F-B808-C948-BFBB-13B4C1C608D3}">
          <x14:formula1>
            <xm:f>Reference!$P$4:$P$5</xm:f>
          </x14:formula1>
          <xm:sqref>G64</xm:sqref>
        </x14:dataValidation>
        <x14:dataValidation type="list" allowBlank="1" showInputMessage="1" promptTitle="Hour" prompt="The default date/time is based on the requested deployment date." xr:uid="{6A51D166-7FE9-574A-9D00-87015812C13E}">
          <x14:formula1>
            <xm:f>Reference!$N$4:$N$15</xm:f>
          </x14:formula1>
          <xm:sqref>E64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CEEFFE05-A91D-8046-B4E4-EE59BB52AB71}">
          <x14:formula1>
            <xm:f>Reference!$S$3:$S$4</xm:f>
          </x14:formula1>
          <xm:sqref>C42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AE5AF2AB-676D-6142-807F-DDF57492BC25}">
          <x14:formula1>
            <xm:f>Reference!$S$3:$S$4</xm:f>
          </x14:formula1>
          <xm:sqref>D9:H9</xm:sqref>
        </x14:dataValidation>
        <x14:dataValidation type="list" allowBlank="1" showInputMessage="1" showErrorMessage="1" promptTitle="AM/PM" prompt="Select AM or PM" xr:uid="{8693521D-23E2-8343-8E64-D3B3E06F358E}">
          <x14:formula1>
            <xm:f>Reference!$P$4:$P$5</xm:f>
          </x14:formula1>
          <xm:sqref>G8</xm:sqref>
        </x14:dataValidation>
        <x14:dataValidation type="list" allowBlank="1" showInputMessage="1" showErrorMessage="1" promptTitle="Minute" prompt="Select the minute" xr:uid="{29CBC998-8EA5-B74C-9C10-A6ED751ED074}">
          <x14:formula1>
            <xm:f>Reference!$O$4:$O$7</xm:f>
          </x14:formula1>
          <xm:sqref>F8</xm:sqref>
        </x14:dataValidation>
        <x14:dataValidation type="list" allowBlank="1" showInputMessage="1" showErrorMessage="1" promptTitle="Hour" prompt="Select the hour" xr:uid="{FD34E206-30A3-6349-BA3B-B6847C02D068}">
          <x14:formula1>
            <xm:f>Reference!$N$4:$N$15</xm:f>
          </x14:formula1>
          <xm:sqref>E8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6187AAD0-04DF-A340-B1C9-328BB6918912}">
          <x14:formula1>
            <xm:f>Reference!$J$3:$J$4</xm:f>
          </x14:formula1>
          <xm:sqref>D10:H10</xm:sqref>
        </x14:dataValidation>
        <x14:dataValidation type="list" allowBlank="1" showInputMessage="1" showErrorMessage="1" xr:uid="{2B33F3D4-B082-7242-99E9-5B1A8CBB3ADE}">
          <x14:formula1>
            <xm:f>Reference!$W$3:$W$5</xm:f>
          </x14:formula1>
          <xm:sqref>D45:H45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95044C8B-2A1F-B742-BD09-F2F26642925A}">
          <x14:formula1>
            <xm:f>Reference!$J$3:$J$4</xm:f>
          </x14:formula1>
          <xm:sqref>D7:H7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669-343E-4249-B2A4-652EF303C5AA}">
  <sheetPr codeName="Sheet4"/>
  <dimension ref="B1:O63"/>
  <sheetViews>
    <sheetView showGridLines="0" zoomScale="90" zoomScaleNormal="90" workbookViewId="0">
      <pane xSplit="9" ySplit="3" topLeftCell="J17" activePane="bottomRight" state="frozen"/>
      <selection activeCell="I49" sqref="I49"/>
      <selection pane="topRight" activeCell="I49" sqref="I49"/>
      <selection pane="bottomLeft" activeCell="I49" sqref="I49"/>
      <selection pane="bottomRight" activeCell="I49" sqref="I49"/>
    </sheetView>
  </sheetViews>
  <sheetFormatPr baseColWidth="10" defaultRowHeight="15" x14ac:dyDescent="0.2"/>
  <cols>
    <col min="1" max="1" width="13.1640625" customWidth="1"/>
    <col min="2" max="2" width="35.5" customWidth="1"/>
    <col min="3" max="3" width="14" customWidth="1"/>
    <col min="4" max="4" width="45" customWidth="1"/>
    <col min="5" max="5" width="12.6640625" customWidth="1"/>
    <col min="6" max="6" width="9.5" customWidth="1"/>
    <col min="7" max="7" width="9.6640625" customWidth="1"/>
    <col min="8" max="8" width="14.6640625" customWidth="1"/>
    <col min="9" max="9" width="24.83203125" customWidth="1"/>
    <col min="10" max="10" width="31.83203125" customWidth="1"/>
    <col min="11" max="11" width="42.6640625" customWidth="1"/>
    <col min="12" max="12" width="18.1640625" hidden="1" customWidth="1"/>
  </cols>
  <sheetData>
    <row r="1" spans="2:12" ht="23" customHeight="1" thickBot="1" x14ac:dyDescent="0.25"/>
    <row r="2" spans="2:12" ht="44" customHeight="1" x14ac:dyDescent="0.2">
      <c r="B2" s="98" t="s">
        <v>0</v>
      </c>
      <c r="C2" s="99"/>
      <c r="D2" s="99"/>
      <c r="E2" s="99"/>
      <c r="F2" s="99"/>
      <c r="G2" s="99"/>
      <c r="H2" s="99"/>
      <c r="I2" s="39" t="s">
        <v>88</v>
      </c>
    </row>
    <row r="3" spans="2:12" ht="44" customHeight="1" thickBot="1" x14ac:dyDescent="0.25">
      <c r="B3" s="100" t="s">
        <v>89</v>
      </c>
      <c r="C3" s="101"/>
      <c r="D3" s="101"/>
      <c r="E3" s="101"/>
      <c r="F3" s="101"/>
      <c r="G3" s="101"/>
      <c r="H3" s="101"/>
      <c r="I3" s="40" t="str">
        <f ca="1">IF(OR(COUNTIF(I5:I57, "REQUIRED") &gt;0, COUNTIF(I5:I57, "ERROR") &gt;0), "INCOMPLETE", "COMPLETE")</f>
        <v>INCOMPLETE</v>
      </c>
    </row>
    <row r="4" spans="2:12" ht="29" customHeight="1" x14ac:dyDescent="0.3">
      <c r="B4" s="102" t="s">
        <v>90</v>
      </c>
      <c r="C4" s="103"/>
      <c r="D4" s="103"/>
      <c r="E4" s="103"/>
      <c r="F4" s="103"/>
      <c r="G4" s="103"/>
      <c r="H4" s="104"/>
      <c r="I4" s="41" t="s">
        <v>37</v>
      </c>
    </row>
    <row r="5" spans="2:12" ht="25" customHeight="1" x14ac:dyDescent="0.3">
      <c r="B5" s="96" t="s">
        <v>25</v>
      </c>
      <c r="C5" s="96"/>
      <c r="D5" s="97"/>
      <c r="E5" s="97"/>
      <c r="F5" s="97"/>
      <c r="G5" s="97"/>
      <c r="H5" s="97"/>
      <c r="I5" s="42" t="str">
        <f>IF(D5 = "", "REQUIRED", "COMPLETE")</f>
        <v>REQUIRED</v>
      </c>
    </row>
    <row r="6" spans="2:12" ht="24" x14ac:dyDescent="0.3">
      <c r="B6" s="96" t="s">
        <v>26</v>
      </c>
      <c r="C6" s="96"/>
      <c r="D6" s="97"/>
      <c r="E6" s="97"/>
      <c r="F6" s="97"/>
      <c r="G6" s="97"/>
      <c r="H6" s="97"/>
      <c r="I6" s="43" t="str">
        <f>IF(D6 = "", "REQUIRED", "COMPLETE")</f>
        <v>REQUIRED</v>
      </c>
    </row>
    <row r="7" spans="2:12" ht="24" x14ac:dyDescent="0.3">
      <c r="B7" s="96" t="s">
        <v>12</v>
      </c>
      <c r="C7" s="96"/>
      <c r="D7" s="105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06"/>
      <c r="F7" s="106"/>
      <c r="G7" s="106"/>
      <c r="H7" s="107"/>
      <c r="I7" s="43" t="str">
        <f ca="1">IF(D7 = "", "REQUIRED", "COMPLETE")</f>
        <v>COMPLETE</v>
      </c>
    </row>
    <row r="8" spans="2:12" ht="24" x14ac:dyDescent="0.3">
      <c r="B8" s="96" t="s">
        <v>91</v>
      </c>
      <c r="C8" s="96"/>
      <c r="D8" s="44"/>
      <c r="E8" s="45"/>
      <c r="F8" s="46"/>
      <c r="G8" s="46"/>
      <c r="H8" s="46"/>
      <c r="I8" s="43" t="str">
        <f>IF(D8 = "", "REQUIRED", "COMPLETE")</f>
        <v>REQUIRED</v>
      </c>
    </row>
    <row r="9" spans="2:12" ht="24" x14ac:dyDescent="0.3">
      <c r="B9" s="108" t="s">
        <v>92</v>
      </c>
      <c r="C9" s="108"/>
      <c r="D9" s="109"/>
      <c r="E9" s="109"/>
      <c r="F9" s="109"/>
      <c r="G9" s="109"/>
      <c r="H9" s="109"/>
      <c r="I9" s="43" t="str">
        <f>IF(D9 = "", "OPTIONAL", "COMPLETE")</f>
        <v>OPTIONAL</v>
      </c>
    </row>
    <row r="10" spans="2:12" ht="24" x14ac:dyDescent="0.3">
      <c r="B10" s="96" t="s">
        <v>93</v>
      </c>
      <c r="C10" s="96"/>
      <c r="D10" s="97"/>
      <c r="E10" s="97"/>
      <c r="F10" s="97"/>
      <c r="G10" s="97"/>
      <c r="H10" s="97"/>
      <c r="I10" s="43" t="str">
        <f ca="1">IF(OR(D7=Reference!J3,D7=""),IF(D10 = "", "NOT REQUIRED", "COMPLETE"), IF(D10 = "", "REQUIRED", "COMPLETE"))</f>
        <v>NOT REQUIRED</v>
      </c>
      <c r="L10" s="47" t="s">
        <v>75</v>
      </c>
    </row>
    <row r="11" spans="2:12" ht="26" x14ac:dyDescent="0.3">
      <c r="B11" s="110" t="s">
        <v>94</v>
      </c>
      <c r="C11" s="111"/>
      <c r="D11" s="111"/>
      <c r="E11" s="111"/>
      <c r="F11" s="111"/>
      <c r="G11" s="111"/>
      <c r="H11" s="111"/>
      <c r="I11" s="112"/>
      <c r="L11" s="38" t="str">
        <f>IF($D$22="","",IF(VLOOKUP($D$22,Reference!$A$24:$F$26,2,FALSE)= 0, "", VLOOKUP($D$22,Reference!$A$24:$F$26,2,FALSE)))</f>
        <v/>
      </c>
    </row>
    <row r="12" spans="2:12" ht="21" x14ac:dyDescent="0.25">
      <c r="B12" s="113" t="s">
        <v>95</v>
      </c>
      <c r="C12" s="114"/>
      <c r="D12" s="114"/>
      <c r="E12" s="114"/>
      <c r="F12" s="114"/>
      <c r="G12" s="114"/>
      <c r="H12" s="114"/>
      <c r="I12" s="115"/>
      <c r="L12" s="38" t="str">
        <f>IF($D$22="","",IF(VLOOKUP($D$22,Reference!$A$24:$F$26,3,FALSE)= 0, "", VLOOKUP($D$22,Reference!$A$24:$F$26,3,FALSE)))</f>
        <v/>
      </c>
    </row>
    <row r="13" spans="2:12" ht="24" x14ac:dyDescent="0.3">
      <c r="B13" s="116" t="s">
        <v>96</v>
      </c>
      <c r="C13" s="116"/>
      <c r="D13" s="117"/>
      <c r="E13" s="117"/>
      <c r="F13" s="117"/>
      <c r="G13" s="117"/>
      <c r="H13" s="117"/>
      <c r="I13" s="43" t="str">
        <f>IF(D13 = "", "REQUIRED", "COMPLETE")</f>
        <v>REQUIRED</v>
      </c>
      <c r="L13" s="38" t="str">
        <f>IF($D$22="","",IF(VLOOKUP($D$22,Reference!$A$24:$F$26,4,FALSE)= 0, "", VLOOKUP($D$22,Reference!$A$24:$F$26,4,FALSE)))</f>
        <v/>
      </c>
    </row>
    <row r="14" spans="2:12" ht="24" x14ac:dyDescent="0.3">
      <c r="B14" s="118" t="s">
        <v>97</v>
      </c>
      <c r="C14" s="118"/>
      <c r="D14" s="97"/>
      <c r="E14" s="97"/>
      <c r="F14" s="97"/>
      <c r="G14" s="97"/>
      <c r="H14" s="97"/>
      <c r="I14" s="119" t="str">
        <f>IF(AND(D14 = "",D15 = ""), "REQUIRED","COMPLETE")</f>
        <v>REQUIRED</v>
      </c>
      <c r="L14" s="38" t="str">
        <f>IF($D$22="","",IF(VLOOKUP($D$22,Reference!$A$24:$F$26,5,FALSE)= 0, "", VLOOKUP($D$22,Reference!$A$24:$F$26,5,FALSE)))</f>
        <v/>
      </c>
    </row>
    <row r="15" spans="2:12" ht="24" x14ac:dyDescent="0.3">
      <c r="B15" s="120" t="s">
        <v>28</v>
      </c>
      <c r="C15" s="120"/>
      <c r="D15" s="121"/>
      <c r="E15" s="121"/>
      <c r="F15" s="121"/>
      <c r="G15" s="121"/>
      <c r="H15" s="121"/>
      <c r="I15" s="119"/>
      <c r="L15" s="38" t="str">
        <f>IF($D$22="","",IF(VLOOKUP($D$22,Reference!$A$24:$F$26,6,FALSE)= 0, "", VLOOKUP($D$22,Reference!$A$24:$F$26,6,FALSE)))</f>
        <v/>
      </c>
    </row>
    <row r="16" spans="2:12" ht="21" x14ac:dyDescent="0.25">
      <c r="B16" s="122" t="s">
        <v>98</v>
      </c>
      <c r="C16" s="123"/>
      <c r="D16" s="123"/>
      <c r="E16" s="123"/>
      <c r="F16" s="123"/>
      <c r="G16" s="123"/>
      <c r="H16" s="123"/>
      <c r="I16" s="124"/>
      <c r="L16" s="38"/>
    </row>
    <row r="17" spans="2:15" ht="24" x14ac:dyDescent="0.3">
      <c r="B17" s="116" t="s">
        <v>96</v>
      </c>
      <c r="C17" s="116"/>
      <c r="D17" s="117"/>
      <c r="E17" s="117"/>
      <c r="F17" s="117"/>
      <c r="G17" s="117"/>
      <c r="H17" s="117"/>
      <c r="I17" s="43" t="str">
        <f>IF(D17 = "", "OPTIONAL", "COMPLETE")</f>
        <v>OPTIONAL</v>
      </c>
    </row>
    <row r="18" spans="2:15" ht="24" x14ac:dyDescent="0.3">
      <c r="B18" s="118" t="s">
        <v>97</v>
      </c>
      <c r="C18" s="118"/>
      <c r="D18" s="97"/>
      <c r="E18" s="97"/>
      <c r="F18" s="97"/>
      <c r="G18" s="97"/>
      <c r="H18" s="97"/>
      <c r="I18" s="43" t="str">
        <f>IF(D18 = "", "OPTIONAL", "COMPLETE")</f>
        <v>OPTIONAL</v>
      </c>
    </row>
    <row r="19" spans="2:15" ht="24" x14ac:dyDescent="0.3">
      <c r="B19" s="120" t="s">
        <v>28</v>
      </c>
      <c r="C19" s="120"/>
      <c r="D19" s="121"/>
      <c r="E19" s="121"/>
      <c r="F19" s="121"/>
      <c r="G19" s="121"/>
      <c r="H19" s="121"/>
      <c r="I19" s="43" t="str">
        <f>IF(D19 = "", "OPTIONAL", "COMPLETE")</f>
        <v>OPTIONAL</v>
      </c>
    </row>
    <row r="20" spans="2:15" ht="26" x14ac:dyDescent="0.3">
      <c r="B20" s="110" t="s">
        <v>99</v>
      </c>
      <c r="C20" s="111"/>
      <c r="D20" s="111"/>
      <c r="E20" s="111"/>
      <c r="F20" s="111"/>
      <c r="G20" s="111"/>
      <c r="H20" s="111"/>
      <c r="I20" s="112"/>
    </row>
    <row r="21" spans="2:15" ht="24" x14ac:dyDescent="0.3">
      <c r="B21" s="116" t="s">
        <v>100</v>
      </c>
      <c r="C21" s="116"/>
      <c r="D21" s="117"/>
      <c r="E21" s="117"/>
      <c r="F21" s="117"/>
      <c r="G21" s="117"/>
      <c r="H21" s="117"/>
      <c r="I21" s="43" t="str">
        <f>IF(D21 = "", "REQUIRED", "COMPLETE")</f>
        <v>REQUIRED</v>
      </c>
      <c r="O21" s="69"/>
    </row>
    <row r="22" spans="2:15" ht="27" customHeight="1" x14ac:dyDescent="0.3">
      <c r="B22" s="118" t="s">
        <v>101</v>
      </c>
      <c r="C22" s="118"/>
      <c r="D22" s="97"/>
      <c r="E22" s="97"/>
      <c r="F22" s="97"/>
      <c r="G22" s="97"/>
      <c r="H22" s="97"/>
      <c r="I22" s="43" t="str">
        <f>IF(D22 = "", "REQUIRED", "COMPLETE")</f>
        <v>REQUIRED</v>
      </c>
    </row>
    <row r="23" spans="2:15" ht="24" x14ac:dyDescent="0.3">
      <c r="B23" s="120" t="s">
        <v>102</v>
      </c>
      <c r="C23" s="120"/>
      <c r="D23" s="121"/>
      <c r="E23" s="121"/>
      <c r="F23" s="121"/>
      <c r="G23" s="121"/>
      <c r="H23" s="121"/>
      <c r="I23" s="43" t="str">
        <f>IF(D22 = Reference!F4, "NOT REQUIRED", IF(D23 = "", "REQUIRED", "COMPLETE"))</f>
        <v>REQUIRED</v>
      </c>
    </row>
    <row r="24" spans="2:15" ht="24" x14ac:dyDescent="0.3">
      <c r="B24" s="118" t="s">
        <v>103</v>
      </c>
      <c r="C24" s="118"/>
      <c r="D24" s="105"/>
      <c r="E24" s="106"/>
      <c r="F24" s="106"/>
      <c r="G24" s="106"/>
      <c r="H24" s="107"/>
      <c r="I24" s="43" t="str">
        <f>IF(D22 = Reference!F3, "NOT REQUIRED", IF(D22 = Reference!F4, IF(D24 = "","REQUIRED", "COMPLETE"), "NOT REQUIRED" ))</f>
        <v>NOT REQUIRED</v>
      </c>
    </row>
    <row r="25" spans="2:15" ht="24" hidden="1" x14ac:dyDescent="0.3">
      <c r="B25" s="118" t="s">
        <v>104</v>
      </c>
      <c r="C25" s="118"/>
      <c r="D25" s="105"/>
      <c r="E25" s="106"/>
      <c r="F25" s="106"/>
      <c r="G25" s="106"/>
      <c r="H25" s="107"/>
      <c r="I25" s="43" t="str">
        <f>IF(D25 = "", "NOT REQUIRED", "COMPLETE")</f>
        <v>NOT REQUIRED</v>
      </c>
    </row>
    <row r="26" spans="2:15" ht="24" x14ac:dyDescent="0.3">
      <c r="B26" s="126" t="s">
        <v>105</v>
      </c>
      <c r="C26" s="127"/>
      <c r="D26" s="49"/>
      <c r="E26" s="105"/>
      <c r="F26" s="106"/>
      <c r="G26" s="106"/>
      <c r="H26" s="107"/>
      <c r="I26" s="43" t="str">
        <f>IF(OR(E26 = "", D26 = ""), "REQUIRED", "COMPLETE")</f>
        <v>REQUIRED</v>
      </c>
    </row>
    <row r="27" spans="2:15" ht="24" x14ac:dyDescent="0.3">
      <c r="B27" s="126" t="s">
        <v>139</v>
      </c>
      <c r="C27" s="127"/>
      <c r="D27" s="105"/>
      <c r="E27" s="106"/>
      <c r="F27" s="106"/>
      <c r="G27" s="106"/>
      <c r="H27" s="107"/>
      <c r="I27" s="43" t="str">
        <f>IF(D27 = "", "NOT REQUIRED", "COMPLETE")</f>
        <v>NOT REQUIRED</v>
      </c>
    </row>
    <row r="28" spans="2:15" ht="24" x14ac:dyDescent="0.3">
      <c r="B28" s="50" t="s">
        <v>107</v>
      </c>
      <c r="C28" s="51"/>
      <c r="D28" s="122"/>
      <c r="E28" s="123"/>
      <c r="F28" s="123"/>
      <c r="G28" s="123"/>
      <c r="H28" s="124"/>
      <c r="I28" s="43" t="str">
        <f>IF(C28 = "", "REQUIRED", "COMPLETE")</f>
        <v>REQUIRED</v>
      </c>
    </row>
    <row r="29" spans="2:15" ht="24" customHeight="1" x14ac:dyDescent="0.3">
      <c r="B29" s="52" t="s">
        <v>108</v>
      </c>
      <c r="C29" s="49" t="str">
        <f>IF($C$28="All","Yes", "")</f>
        <v/>
      </c>
      <c r="D29" s="126" t="s">
        <v>140</v>
      </c>
      <c r="E29" s="127"/>
      <c r="F29" s="105" t="str">
        <f>IF($C$28="All","Yes", IF(AND(C28 = "Restricted",C29="No"), "No",""))</f>
        <v/>
      </c>
      <c r="G29" s="106"/>
      <c r="H29" s="107"/>
      <c r="I29" s="125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15" ht="24" x14ac:dyDescent="0.3">
      <c r="B30" s="50" t="s">
        <v>110</v>
      </c>
      <c r="C30" s="49" t="str">
        <f>IF($C$28="All","Yes", "")</f>
        <v/>
      </c>
      <c r="D30" s="53"/>
      <c r="E30" s="54"/>
      <c r="F30" s="54"/>
      <c r="G30" s="54"/>
      <c r="H30" s="55"/>
      <c r="I30" s="125"/>
    </row>
    <row r="31" spans="2:15" ht="24" x14ac:dyDescent="0.3">
      <c r="B31" s="50" t="s">
        <v>111</v>
      </c>
      <c r="C31" s="49" t="str">
        <f>IF($C$28="All","Yes", "")</f>
        <v/>
      </c>
      <c r="D31" s="70"/>
      <c r="E31" s="71"/>
      <c r="F31" s="71"/>
      <c r="G31" s="71"/>
      <c r="H31" s="72"/>
      <c r="I31" s="125"/>
    </row>
    <row r="32" spans="2:15" ht="21" customHeight="1" x14ac:dyDescent="0.2">
      <c r="B32" s="147" t="s">
        <v>148</v>
      </c>
      <c r="C32" s="148"/>
      <c r="D32" s="153" t="s">
        <v>112</v>
      </c>
      <c r="E32" s="154"/>
      <c r="F32" s="154"/>
      <c r="G32" s="154"/>
      <c r="H32" s="155"/>
      <c r="I32" s="119" t="str">
        <f>IF(OR(C28 = "All", C28 = ""), "NOT REQUIRED", IF(D32 = "", "REQUIRED", "COMPLETE"))</f>
        <v>NOT REQUIRED</v>
      </c>
    </row>
    <row r="33" spans="2:9" ht="24" customHeight="1" x14ac:dyDescent="0.2">
      <c r="B33" s="149"/>
      <c r="C33" s="150"/>
      <c r="D33" s="156"/>
      <c r="E33" s="157"/>
      <c r="F33" s="157"/>
      <c r="G33" s="157"/>
      <c r="H33" s="158"/>
      <c r="I33" s="119"/>
    </row>
    <row r="34" spans="2:9" ht="24" customHeight="1" x14ac:dyDescent="0.2">
      <c r="B34" s="151"/>
      <c r="C34" s="152"/>
      <c r="D34" s="159"/>
      <c r="E34" s="160"/>
      <c r="F34" s="160"/>
      <c r="G34" s="160"/>
      <c r="H34" s="161"/>
      <c r="I34" s="119"/>
    </row>
    <row r="35" spans="2:9" ht="72" customHeight="1" x14ac:dyDescent="0.2">
      <c r="B35" s="162" t="s">
        <v>149</v>
      </c>
      <c r="C35" s="163"/>
      <c r="D35" s="164" t="s">
        <v>143</v>
      </c>
      <c r="E35" s="165"/>
      <c r="F35" s="165"/>
      <c r="G35" s="165"/>
      <c r="H35" s="166"/>
      <c r="I35" s="43" t="str">
        <f>IF(OR(C28 = "All", C28 = ""), "NOT REQUIRED", IF(D35 = "", "REQUIRED", "COMPLETE"))</f>
        <v>NOT REQUIRED</v>
      </c>
    </row>
    <row r="36" spans="2:9" ht="21" x14ac:dyDescent="0.25">
      <c r="B36" s="122" t="s">
        <v>141</v>
      </c>
      <c r="C36" s="123"/>
      <c r="D36" s="123"/>
      <c r="E36" s="123"/>
      <c r="F36" s="123"/>
      <c r="G36" s="123"/>
      <c r="H36" s="123"/>
      <c r="I36" s="124"/>
    </row>
    <row r="37" spans="2:9" ht="24" customHeight="1" x14ac:dyDescent="0.3">
      <c r="B37" s="52" t="s">
        <v>114</v>
      </c>
      <c r="C37" s="49"/>
      <c r="D37" s="126" t="s">
        <v>28</v>
      </c>
      <c r="E37" s="127"/>
      <c r="F37" s="128"/>
      <c r="G37" s="129"/>
      <c r="H37" s="130"/>
      <c r="I37" s="125" t="str">
        <f>IF(OR(C37 = "",C38 = "",C39 = "",C40 = "",F37 = "",F38 = "",F39 = ""), "REQUIRED:                                        Please select Yes or No for all","COMPLETE")</f>
        <v>REQUIRED:                                        Please select Yes or No for all</v>
      </c>
    </row>
    <row r="38" spans="2:9" ht="24" x14ac:dyDescent="0.3">
      <c r="B38" s="50" t="s">
        <v>115</v>
      </c>
      <c r="C38" s="51"/>
      <c r="D38" s="126" t="s">
        <v>116</v>
      </c>
      <c r="E38" s="127"/>
      <c r="F38" s="105"/>
      <c r="G38" s="106"/>
      <c r="H38" s="107"/>
      <c r="I38" s="125"/>
    </row>
    <row r="39" spans="2:9" ht="24" x14ac:dyDescent="0.3">
      <c r="B39" s="50" t="s">
        <v>117</v>
      </c>
      <c r="C39" s="51"/>
      <c r="D39" s="126" t="s">
        <v>118</v>
      </c>
      <c r="E39" s="127"/>
      <c r="F39" s="105"/>
      <c r="G39" s="106"/>
      <c r="H39" s="107"/>
      <c r="I39" s="125"/>
    </row>
    <row r="40" spans="2:9" ht="24" x14ac:dyDescent="0.3">
      <c r="B40" s="52" t="s">
        <v>119</v>
      </c>
      <c r="C40" s="62"/>
      <c r="D40" s="63"/>
      <c r="E40" s="64"/>
      <c r="F40" s="64"/>
      <c r="G40" s="64"/>
      <c r="H40" s="65"/>
      <c r="I40" s="125"/>
    </row>
    <row r="41" spans="2:9" ht="26" x14ac:dyDescent="0.3">
      <c r="B41" s="110" t="s">
        <v>120</v>
      </c>
      <c r="C41" s="111"/>
      <c r="D41" s="111"/>
      <c r="E41" s="111"/>
      <c r="F41" s="111"/>
      <c r="G41" s="111"/>
      <c r="H41" s="111"/>
      <c r="I41" s="112"/>
    </row>
    <row r="42" spans="2:9" ht="24" x14ac:dyDescent="0.3">
      <c r="B42" s="116" t="s">
        <v>121</v>
      </c>
      <c r="C42" s="116"/>
      <c r="D42" s="117"/>
      <c r="E42" s="117"/>
      <c r="F42" s="117"/>
      <c r="G42" s="117"/>
      <c r="H42" s="117"/>
      <c r="I42" s="43" t="str">
        <f>IF(D42 = "", "REQUIRED", "COMPLETE")</f>
        <v>REQUIRED</v>
      </c>
    </row>
    <row r="43" spans="2:9" ht="24" x14ac:dyDescent="0.3">
      <c r="B43" s="116" t="s">
        <v>122</v>
      </c>
      <c r="C43" s="116"/>
      <c r="D43" s="117"/>
      <c r="E43" s="117"/>
      <c r="F43" s="117"/>
      <c r="G43" s="117"/>
      <c r="H43" s="117"/>
      <c r="I43" s="73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4" spans="2:9" ht="24" x14ac:dyDescent="0.3">
      <c r="B44" s="118" t="s">
        <v>123</v>
      </c>
      <c r="C44" s="118"/>
      <c r="D44" s="97"/>
      <c r="E44" s="97"/>
      <c r="F44" s="97"/>
      <c r="G44" s="97"/>
      <c r="H44" s="97"/>
      <c r="I44" s="43" t="str">
        <f>IF(D44 = "", "REQUIRED", "COMPLETE")</f>
        <v>REQUIRED</v>
      </c>
    </row>
    <row r="45" spans="2:9" ht="24" x14ac:dyDescent="0.3">
      <c r="B45" s="118" t="s">
        <v>27</v>
      </c>
      <c r="C45" s="118"/>
      <c r="D45" s="97"/>
      <c r="E45" s="97"/>
      <c r="F45" s="97"/>
      <c r="G45" s="97"/>
      <c r="H45" s="97"/>
      <c r="I45" s="43" t="str">
        <f>IF(D24=Reference!U4, "NOT REQUIRED",IF(D45 = "", "REQUIRED", "COMPLETE"))</f>
        <v>REQUIRED</v>
      </c>
    </row>
    <row r="46" spans="2:9" ht="24" x14ac:dyDescent="0.3">
      <c r="B46" s="118" t="s">
        <v>124</v>
      </c>
      <c r="C46" s="118"/>
      <c r="D46" s="97"/>
      <c r="E46" s="97"/>
      <c r="F46" s="97"/>
      <c r="G46" s="97"/>
      <c r="H46" s="97"/>
      <c r="I46" s="43" t="str">
        <f>IF(D46 = "", "REQUIRED", IF( D24 = "", "COMPLETE",IF(OR(AND(D24 = Reference!U3,D46 = Reference!Y4),AND(D22 = Reference!F3,D46 = Reference!Y4)),"ERROR","COMPLETE")))</f>
        <v>REQUIRED</v>
      </c>
    </row>
    <row r="47" spans="2:9" ht="24" x14ac:dyDescent="0.3">
      <c r="B47" s="118" t="s">
        <v>144</v>
      </c>
      <c r="C47" s="118"/>
      <c r="D47" s="97"/>
      <c r="E47" s="97"/>
      <c r="F47" s="97"/>
      <c r="G47" s="97"/>
      <c r="H47" s="97"/>
      <c r="I47" s="48" t="str">
        <f xml:space="preserve"> IF(D47 = "", "REQUIRED", "COMPLETE")</f>
        <v>REQUIRED</v>
      </c>
    </row>
    <row r="48" spans="2:9" ht="24" x14ac:dyDescent="0.3">
      <c r="B48" s="120" t="s">
        <v>146</v>
      </c>
      <c r="C48" s="120"/>
      <c r="D48" s="97"/>
      <c r="E48" s="97"/>
      <c r="F48" s="97"/>
      <c r="G48" s="97"/>
      <c r="H48" s="97"/>
      <c r="I48" s="43" t="str">
        <f xml:space="preserve"> IF(D48 = "", "REQUIRED", "COMPLETE")</f>
        <v>REQUIRED</v>
      </c>
    </row>
    <row r="49" spans="2:9" ht="24" x14ac:dyDescent="0.3">
      <c r="B49" s="118" t="s">
        <v>145</v>
      </c>
      <c r="C49" s="118"/>
      <c r="D49" s="121"/>
      <c r="E49" s="121"/>
      <c r="F49" s="121"/>
      <c r="G49" s="121"/>
      <c r="H49" s="121"/>
      <c r="I49" s="48" t="str">
        <f>IF(D49 = "", "OPTIONAL", "COMPLETE")</f>
        <v>OPTIONAL</v>
      </c>
    </row>
    <row r="50" spans="2:9" ht="24" x14ac:dyDescent="0.3">
      <c r="B50" s="120" t="s">
        <v>147</v>
      </c>
      <c r="C50" s="120"/>
      <c r="D50" s="105"/>
      <c r="E50" s="106"/>
      <c r="F50" s="106"/>
      <c r="G50" s="106"/>
      <c r="H50" s="107"/>
      <c r="I50" s="43" t="str">
        <f>IF(D50 = "", "OPTIONAL", "COMPLETE")</f>
        <v>OPTIONAL</v>
      </c>
    </row>
    <row r="51" spans="2:9" ht="26" x14ac:dyDescent="0.2">
      <c r="B51" s="132" t="s">
        <v>142</v>
      </c>
      <c r="C51" s="133"/>
      <c r="D51" s="133"/>
      <c r="E51" s="133"/>
      <c r="F51" s="133"/>
      <c r="G51" s="133"/>
      <c r="H51" s="133"/>
      <c r="I51" s="134"/>
    </row>
    <row r="52" spans="2:9" ht="24" x14ac:dyDescent="0.3">
      <c r="B52" s="135" t="s">
        <v>131</v>
      </c>
      <c r="C52" s="135"/>
      <c r="D52" s="117"/>
      <c r="E52" s="117"/>
      <c r="F52" s="117"/>
      <c r="G52" s="117"/>
      <c r="H52" s="117"/>
      <c r="I52" s="43" t="str">
        <f>IF($D$9="YES",IF(D52 = "", "REQUIRED", "COMPLETE"), "NOT REQUIRED")</f>
        <v>NOT REQUIRED</v>
      </c>
    </row>
    <row r="53" spans="2:9" ht="24" customHeight="1" x14ac:dyDescent="0.3">
      <c r="B53" s="131" t="s">
        <v>132</v>
      </c>
      <c r="C53" s="131"/>
      <c r="D53" s="105"/>
      <c r="E53" s="106"/>
      <c r="F53" s="106"/>
      <c r="G53" s="106"/>
      <c r="H53" s="107"/>
      <c r="I53" s="43" t="str">
        <f>IF($D$9="YES",IF(D53 = "", "REQUIRED", "COMPLETE"), "NOT REQUIRED")</f>
        <v>NOT REQUIRED</v>
      </c>
    </row>
    <row r="54" spans="2:9" ht="24" customHeight="1" x14ac:dyDescent="0.3">
      <c r="B54" s="131" t="s">
        <v>133</v>
      </c>
      <c r="C54" s="131"/>
      <c r="D54" s="97"/>
      <c r="E54" s="97"/>
      <c r="F54" s="97"/>
      <c r="G54" s="97"/>
      <c r="H54" s="97"/>
      <c r="I54" s="43" t="str">
        <f>IF($D$9="YES",IF(D54 = "", "REQUIRED", "COMPLETE"), "NOT REQUIRED")</f>
        <v>NOT REQUIRED</v>
      </c>
    </row>
    <row r="55" spans="2:9" ht="24" customHeight="1" x14ac:dyDescent="0.3">
      <c r="B55" s="131" t="s">
        <v>134</v>
      </c>
      <c r="C55" s="131"/>
      <c r="D55" s="105"/>
      <c r="E55" s="106"/>
      <c r="F55" s="106"/>
      <c r="G55" s="106"/>
      <c r="H55" s="107"/>
      <c r="I55" s="43" t="str">
        <f>IF($D$9="YES",IF(D55 = "", "REQUIRED", "COMPLETE"), "NOT REQUIRED")</f>
        <v>NOT REQUIRED</v>
      </c>
    </row>
    <row r="56" spans="2:9" ht="24" customHeight="1" x14ac:dyDescent="0.3">
      <c r="B56" s="131" t="s">
        <v>135</v>
      </c>
      <c r="C56" s="131"/>
      <c r="D56" s="97"/>
      <c r="E56" s="97"/>
      <c r="F56" s="97"/>
      <c r="G56" s="97"/>
      <c r="H56" s="97"/>
      <c r="I56" s="43" t="str">
        <f t="shared" ref="I56:I57" si="0">IF($D$9="YES",IF(D56 = "", "REQUIRED", "COMPLETE"), "NOT REQUIRED")</f>
        <v>NOT REQUIRED</v>
      </c>
    </row>
    <row r="57" spans="2:9" ht="24" customHeight="1" x14ac:dyDescent="0.3">
      <c r="B57" s="120" t="s">
        <v>136</v>
      </c>
      <c r="C57" s="120"/>
      <c r="D57" s="66"/>
      <c r="E57" s="67"/>
      <c r="F57" s="68"/>
      <c r="G57" s="68"/>
      <c r="H57" s="68"/>
      <c r="I57" s="43" t="str">
        <f t="shared" si="0"/>
        <v>NOT REQUIRED</v>
      </c>
    </row>
    <row r="58" spans="2:9" ht="24" customHeight="1" x14ac:dyDescent="0.3">
      <c r="B58" s="110" t="s">
        <v>137</v>
      </c>
      <c r="C58" s="111"/>
      <c r="D58" s="111"/>
      <c r="E58" s="111"/>
      <c r="F58" s="111"/>
      <c r="G58" s="111"/>
      <c r="H58" s="111"/>
      <c r="I58" s="112"/>
    </row>
    <row r="59" spans="2:9" x14ac:dyDescent="0.2">
      <c r="B59" s="136" t="s">
        <v>138</v>
      </c>
      <c r="C59" s="136"/>
      <c r="D59" s="138"/>
      <c r="E59" s="139"/>
      <c r="F59" s="139"/>
      <c r="G59" s="139"/>
      <c r="H59" s="139"/>
      <c r="I59" s="140"/>
    </row>
    <row r="60" spans="2:9" ht="15" customHeight="1" x14ac:dyDescent="0.2">
      <c r="B60" s="137"/>
      <c r="C60" s="137"/>
      <c r="D60" s="141"/>
      <c r="E60" s="142"/>
      <c r="F60" s="142"/>
      <c r="G60" s="142"/>
      <c r="H60" s="142"/>
      <c r="I60" s="143"/>
    </row>
    <row r="61" spans="2:9" ht="15" customHeight="1" x14ac:dyDescent="0.2">
      <c r="B61" s="137"/>
      <c r="C61" s="137"/>
      <c r="D61" s="141"/>
      <c r="E61" s="142"/>
      <c r="F61" s="142"/>
      <c r="G61" s="142"/>
      <c r="H61" s="142"/>
      <c r="I61" s="143"/>
    </row>
    <row r="62" spans="2:9" ht="15" customHeight="1" x14ac:dyDescent="0.2">
      <c r="B62" s="137"/>
      <c r="C62" s="137"/>
      <c r="D62" s="144"/>
      <c r="E62" s="145"/>
      <c r="F62" s="145"/>
      <c r="G62" s="145"/>
      <c r="H62" s="145"/>
      <c r="I62" s="146"/>
    </row>
    <row r="63" spans="2:9" ht="15" customHeight="1" x14ac:dyDescent="0.2"/>
  </sheetData>
  <dataConsolidate/>
  <mergeCells count="96">
    <mergeCell ref="B52:C52"/>
    <mergeCell ref="D52:H52"/>
    <mergeCell ref="B57:C57"/>
    <mergeCell ref="B58:I58"/>
    <mergeCell ref="B59:C62"/>
    <mergeCell ref="D59:I62"/>
    <mergeCell ref="B54:C54"/>
    <mergeCell ref="D54:H54"/>
    <mergeCell ref="B55:C55"/>
    <mergeCell ref="D55:H55"/>
    <mergeCell ref="B56:C56"/>
    <mergeCell ref="D56:H56"/>
    <mergeCell ref="D43:H43"/>
    <mergeCell ref="B53:C53"/>
    <mergeCell ref="D53:H53"/>
    <mergeCell ref="B45:C45"/>
    <mergeCell ref="D45:H45"/>
    <mergeCell ref="B46:C46"/>
    <mergeCell ref="D46:H46"/>
    <mergeCell ref="B48:C48"/>
    <mergeCell ref="D48:H48"/>
    <mergeCell ref="B47:C47"/>
    <mergeCell ref="D47:H47"/>
    <mergeCell ref="B49:C49"/>
    <mergeCell ref="D49:H49"/>
    <mergeCell ref="B50:C50"/>
    <mergeCell ref="D50:H50"/>
    <mergeCell ref="B51:I51"/>
    <mergeCell ref="B44:C44"/>
    <mergeCell ref="D44:H44"/>
    <mergeCell ref="B35:C35"/>
    <mergeCell ref="D35:H35"/>
    <mergeCell ref="B36:I36"/>
    <mergeCell ref="D37:E37"/>
    <mergeCell ref="F37:H37"/>
    <mergeCell ref="I37:I40"/>
    <mergeCell ref="D38:E38"/>
    <mergeCell ref="F38:H38"/>
    <mergeCell ref="D39:E39"/>
    <mergeCell ref="F39:H39"/>
    <mergeCell ref="B41:I41"/>
    <mergeCell ref="B42:C42"/>
    <mergeCell ref="D42:H42"/>
    <mergeCell ref="B43:C43"/>
    <mergeCell ref="B22:C22"/>
    <mergeCell ref="D22:H22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D18:H18"/>
    <mergeCell ref="B19:C19"/>
    <mergeCell ref="D19:H19"/>
    <mergeCell ref="B20:I20"/>
    <mergeCell ref="B21:C21"/>
    <mergeCell ref="D21:H21"/>
    <mergeCell ref="B9:C9"/>
    <mergeCell ref="D9:H9"/>
    <mergeCell ref="B11:I11"/>
    <mergeCell ref="B12:I12"/>
    <mergeCell ref="B13:C13"/>
    <mergeCell ref="D13:H13"/>
    <mergeCell ref="B6:C6"/>
    <mergeCell ref="D6:H6"/>
    <mergeCell ref="B7:C7"/>
    <mergeCell ref="D7:H7"/>
    <mergeCell ref="B8:C8"/>
    <mergeCell ref="B2:H2"/>
    <mergeCell ref="B3:H3"/>
    <mergeCell ref="B4:H4"/>
    <mergeCell ref="B5:C5"/>
    <mergeCell ref="D5:H5"/>
    <mergeCell ref="B32:C34"/>
    <mergeCell ref="D32:H34"/>
    <mergeCell ref="I32:I34"/>
    <mergeCell ref="B10:C10"/>
    <mergeCell ref="D10:H10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</mergeCells>
  <conditionalFormatting sqref="I5">
    <cfRule type="cellIs" dxfId="136" priority="137" operator="equal">
      <formula>"REQUIRED"</formula>
    </cfRule>
  </conditionalFormatting>
  <conditionalFormatting sqref="I42 I5:I9 I21:I23 I13:I15 I52:I57 I17:I19 I48 I44:I45 I50">
    <cfRule type="cellIs" dxfId="135" priority="131" operator="equal">
      <formula>"NOT REQUIRED"</formula>
    </cfRule>
    <cfRule type="containsText" dxfId="134" priority="133" operator="containsText" text="Warning">
      <formula>NOT(ISERROR(SEARCH("Warning",I5)))</formula>
    </cfRule>
    <cfRule type="cellIs" dxfId="133" priority="134" operator="equal">
      <formula>"Warning*"</formula>
    </cfRule>
    <cfRule type="cellIs" dxfId="132" priority="135" operator="equal">
      <formula>"COMPLETE"</formula>
    </cfRule>
    <cfRule type="cellIs" dxfId="131" priority="136" operator="equal">
      <formula>"REQUIRED"</formula>
    </cfRule>
  </conditionalFormatting>
  <conditionalFormatting sqref="I1:I2 I13:I15 I21:I23 I37:I40 I42 I52:I57 I63:I1048576 I17:I19 I48 I44:I45 I5:I9 I50">
    <cfRule type="containsText" dxfId="130" priority="130" operator="containsText" text="OPTIONAL">
      <formula>NOT(ISERROR(SEARCH("OPTIONAL",I1)))</formula>
    </cfRule>
    <cfRule type="containsText" dxfId="129" priority="132" operator="containsText" text="REQUIRED">
      <formula>NOT(ISERROR(SEARCH("REQUIRED",I1)))</formula>
    </cfRule>
  </conditionalFormatting>
  <conditionalFormatting sqref="I37:I40">
    <cfRule type="cellIs" dxfId="128" priority="129" operator="equal">
      <formula>"COMPLETE"</formula>
    </cfRule>
  </conditionalFormatting>
  <conditionalFormatting sqref="I24">
    <cfRule type="cellIs" dxfId="127" priority="123" operator="equal">
      <formula>"NOT REQUIRED"</formula>
    </cfRule>
    <cfRule type="containsText" dxfId="126" priority="125" operator="containsText" text="Warning">
      <formula>NOT(ISERROR(SEARCH("Warning",I24)))</formula>
    </cfRule>
    <cfRule type="cellIs" dxfId="125" priority="126" operator="equal">
      <formula>"Warning*"</formula>
    </cfRule>
    <cfRule type="cellIs" dxfId="124" priority="127" operator="equal">
      <formula>"COMPLETE"</formula>
    </cfRule>
    <cfRule type="cellIs" dxfId="123" priority="128" operator="equal">
      <formula>"REQUIRED"</formula>
    </cfRule>
  </conditionalFormatting>
  <conditionalFormatting sqref="I24">
    <cfRule type="containsText" dxfId="122" priority="122" operator="containsText" text="OPTIONAL">
      <formula>NOT(ISERROR(SEARCH("OPTIONAL",I24)))</formula>
    </cfRule>
    <cfRule type="containsText" dxfId="121" priority="124" operator="containsText" text="REQUIRED">
      <formula>NOT(ISERROR(SEARCH("REQUIRED",I24)))</formula>
    </cfRule>
  </conditionalFormatting>
  <conditionalFormatting sqref="I43">
    <cfRule type="cellIs" dxfId="120" priority="116" operator="equal">
      <formula>"NOT REQUIRED"</formula>
    </cfRule>
    <cfRule type="containsText" dxfId="119" priority="118" operator="containsText" text="Warning">
      <formula>NOT(ISERROR(SEARCH("Warning",I43)))</formula>
    </cfRule>
    <cfRule type="cellIs" dxfId="118" priority="119" operator="equal">
      <formula>"Warning*"</formula>
    </cfRule>
    <cfRule type="cellIs" dxfId="117" priority="120" operator="equal">
      <formula>"COMPLETE"</formula>
    </cfRule>
    <cfRule type="cellIs" dxfId="116" priority="121" operator="equal">
      <formula>"REQUIRED"</formula>
    </cfRule>
  </conditionalFormatting>
  <conditionalFormatting sqref="I43">
    <cfRule type="containsText" dxfId="115" priority="115" operator="containsText" text="OPTIONAL">
      <formula>NOT(ISERROR(SEARCH("OPTIONAL",I43)))</formula>
    </cfRule>
    <cfRule type="containsText" dxfId="114" priority="117" operator="containsText" text="REQUIRED">
      <formula>NOT(ISERROR(SEARCH("REQUIRED",I43)))</formula>
    </cfRule>
  </conditionalFormatting>
  <conditionalFormatting sqref="I46">
    <cfRule type="cellIs" dxfId="113" priority="109" operator="equal">
      <formula>"NOT REQUIRED"</formula>
    </cfRule>
    <cfRule type="cellIs" dxfId="112" priority="112" operator="equal">
      <formula>"Warning*"</formula>
    </cfRule>
    <cfRule type="cellIs" dxfId="111" priority="113" operator="equal">
      <formula>"COMPLETE"</formula>
    </cfRule>
    <cfRule type="cellIs" dxfId="110" priority="114" operator="equal">
      <formula>"REQUIRED"</formula>
    </cfRule>
  </conditionalFormatting>
  <conditionalFormatting sqref="I46">
    <cfRule type="containsText" dxfId="109" priority="108" operator="containsText" text="OPTIONAL">
      <formula>NOT(ISERROR(SEARCH("OPTIONAL",I46)))</formula>
    </cfRule>
    <cfRule type="containsText" dxfId="108" priority="110" operator="containsText" text="REQUIRED">
      <formula>NOT(ISERROR(SEARCH("REQUIRED",I46)))</formula>
    </cfRule>
  </conditionalFormatting>
  <conditionalFormatting sqref="I2">
    <cfRule type="containsText" dxfId="107" priority="106" operator="containsText" text="OPTIONAL">
      <formula>NOT(ISERROR(SEARCH("OPTIONAL",I2)))</formula>
    </cfRule>
    <cfRule type="containsText" dxfId="106" priority="107" operator="containsText" text="REQUIRED">
      <formula>NOT(ISERROR(SEARCH("REQUIRED",I2)))</formula>
    </cfRule>
  </conditionalFormatting>
  <conditionalFormatting sqref="I3">
    <cfRule type="cellIs" dxfId="105" priority="98" operator="equal">
      <formula>"COMPLETE"</formula>
    </cfRule>
    <cfRule type="containsText" dxfId="104" priority="99" operator="containsText" text="INCOMPLETE">
      <formula>NOT(ISERROR(SEARCH("INCOMPLETE",I3)))</formula>
    </cfRule>
    <cfRule type="containsText" dxfId="103" priority="104" operator="containsText" text="OPTIONAL">
      <formula>NOT(ISERROR(SEARCH("OPTIONAL",I3)))</formula>
    </cfRule>
    <cfRule type="containsText" dxfId="102" priority="105" operator="containsText" text="REQUIRED">
      <formula>NOT(ISERROR(SEARCH("REQUIRED",I3)))</formula>
    </cfRule>
  </conditionalFormatting>
  <conditionalFormatting sqref="I4">
    <cfRule type="containsText" dxfId="101" priority="102" operator="containsText" text="OPTIONAL">
      <formula>NOT(ISERROR(SEARCH("OPTIONAL",I4)))</formula>
    </cfRule>
    <cfRule type="containsText" dxfId="100" priority="103" operator="containsText" text="REQUIRED">
      <formula>NOT(ISERROR(SEARCH("REQUIRED",I4)))</formula>
    </cfRule>
  </conditionalFormatting>
  <conditionalFormatting sqref="I4">
    <cfRule type="containsText" dxfId="99" priority="100" operator="containsText" text="OPTIONAL">
      <formula>NOT(ISERROR(SEARCH("OPTIONAL",I4)))</formula>
    </cfRule>
    <cfRule type="containsText" dxfId="98" priority="101" operator="containsText" text="REQUIRED">
      <formula>NOT(ISERROR(SEARCH("REQUIRED",I4)))</formula>
    </cfRule>
  </conditionalFormatting>
  <conditionalFormatting sqref="D5:I6 D11:I24 D36:I46 D8:I9 D7 I7 D48:I48 D50:I57">
    <cfRule type="containsText" dxfId="97" priority="111" operator="containsText" text="ERROR">
      <formula>NOT(ISERROR(SEARCH("ERROR",D5)))</formula>
    </cfRule>
  </conditionalFormatting>
  <conditionalFormatting sqref="D5:H6 D11:H24 D8:H9 D7 D36:H46 D28:D30 F29:H29 D48:H48 D50:H57">
    <cfRule type="expression" dxfId="96" priority="96">
      <formula>$I5="ERROR"</formula>
    </cfRule>
    <cfRule type="expression" dxfId="95" priority="97">
      <formula>$I5="NOT REQUIRED"</formula>
    </cfRule>
  </conditionalFormatting>
  <conditionalFormatting sqref="I25">
    <cfRule type="containsText" dxfId="94" priority="85" operator="containsText" text="ERROR">
      <formula>NOT(ISERROR(SEARCH("ERROR",I25)))</formula>
    </cfRule>
  </conditionalFormatting>
  <conditionalFormatting sqref="D25:H25">
    <cfRule type="containsText" dxfId="93" priority="95" operator="containsText" text="ERROR">
      <formula>NOT(ISERROR(SEARCH("ERROR",D25)))</formula>
    </cfRule>
  </conditionalFormatting>
  <conditionalFormatting sqref="D25:H25">
    <cfRule type="expression" dxfId="92" priority="93">
      <formula>$I25="ERROR"</formula>
    </cfRule>
    <cfRule type="expression" dxfId="91" priority="94">
      <formula>$I25="NOT REQUIRED"</formula>
    </cfRule>
  </conditionalFormatting>
  <conditionalFormatting sqref="I25">
    <cfRule type="cellIs" dxfId="90" priority="87" operator="equal">
      <formula>"NOT REQUIRED"</formula>
    </cfRule>
    <cfRule type="containsText" dxfId="89" priority="89" operator="containsText" text="Warning">
      <formula>NOT(ISERROR(SEARCH("Warning",I25)))</formula>
    </cfRule>
    <cfRule type="cellIs" dxfId="88" priority="90" operator="equal">
      <formula>"Warning*"</formula>
    </cfRule>
    <cfRule type="cellIs" dxfId="87" priority="91" operator="equal">
      <formula>"COMPLETE"</formula>
    </cfRule>
    <cfRule type="cellIs" dxfId="86" priority="92" operator="equal">
      <formula>"REQUIRED"</formula>
    </cfRule>
  </conditionalFormatting>
  <conditionalFormatting sqref="I25">
    <cfRule type="containsText" dxfId="85" priority="86" operator="containsText" text="OPTIONAL">
      <formula>NOT(ISERROR(SEARCH("OPTIONAL",I25)))</formula>
    </cfRule>
    <cfRule type="containsText" dxfId="84" priority="88" operator="containsText" text="REQUIRED">
      <formula>NOT(ISERROR(SEARCH("REQUIRED",I25)))</formula>
    </cfRule>
  </conditionalFormatting>
  <conditionalFormatting sqref="I10">
    <cfRule type="cellIs" dxfId="83" priority="79" operator="equal">
      <formula>"NOT REQUIRED"</formula>
    </cfRule>
    <cfRule type="containsText" dxfId="82" priority="81" operator="containsText" text="Warning">
      <formula>NOT(ISERROR(SEARCH("Warning",I10)))</formula>
    </cfRule>
    <cfRule type="cellIs" dxfId="81" priority="82" operator="equal">
      <formula>"Warning*"</formula>
    </cfRule>
    <cfRule type="cellIs" dxfId="80" priority="83" operator="equal">
      <formula>"COMPLETE"</formula>
    </cfRule>
    <cfRule type="cellIs" dxfId="79" priority="84" operator="equal">
      <formula>"REQUIRED"</formula>
    </cfRule>
  </conditionalFormatting>
  <conditionalFormatting sqref="I10">
    <cfRule type="containsText" dxfId="78" priority="78" operator="containsText" text="OPTIONAL">
      <formula>NOT(ISERROR(SEARCH("OPTIONAL",I10)))</formula>
    </cfRule>
    <cfRule type="containsText" dxfId="77" priority="80" operator="containsText" text="REQUIRED">
      <formula>NOT(ISERROR(SEARCH("REQUIRED",I10)))</formula>
    </cfRule>
  </conditionalFormatting>
  <conditionalFormatting sqref="I10">
    <cfRule type="containsText" dxfId="76" priority="77" operator="containsText" text="ERROR">
      <formula>NOT(ISERROR(SEARCH("ERROR",I10)))</formula>
    </cfRule>
  </conditionalFormatting>
  <conditionalFormatting sqref="D10:H10">
    <cfRule type="containsText" dxfId="75" priority="76" operator="containsText" text="ERROR">
      <formula>NOT(ISERROR(SEARCH("ERROR",D10)))</formula>
    </cfRule>
  </conditionalFormatting>
  <conditionalFormatting sqref="D10:H10">
    <cfRule type="expression" dxfId="74" priority="74">
      <formula>$I10="ERROR"</formula>
    </cfRule>
    <cfRule type="expression" dxfId="73" priority="75">
      <formula>$I10="NOT REQUIRED"</formula>
    </cfRule>
  </conditionalFormatting>
  <conditionalFormatting sqref="I26">
    <cfRule type="cellIs" dxfId="72" priority="68" operator="equal">
      <formula>"NOT REQUIRED"</formula>
    </cfRule>
    <cfRule type="containsText" dxfId="71" priority="70" operator="containsText" text="Warning">
      <formula>NOT(ISERROR(SEARCH("Warning",I26)))</formula>
    </cfRule>
    <cfRule type="cellIs" dxfId="70" priority="71" operator="equal">
      <formula>"Warning*"</formula>
    </cfRule>
    <cfRule type="cellIs" dxfId="69" priority="72" operator="equal">
      <formula>"COMPLETE"</formula>
    </cfRule>
    <cfRule type="cellIs" dxfId="68" priority="73" operator="equal">
      <formula>"REQUIRED"</formula>
    </cfRule>
  </conditionalFormatting>
  <conditionalFormatting sqref="I26">
    <cfRule type="containsText" dxfId="67" priority="67" operator="containsText" text="OPTIONAL">
      <formula>NOT(ISERROR(SEARCH("OPTIONAL",I26)))</formula>
    </cfRule>
    <cfRule type="containsText" dxfId="66" priority="69" operator="containsText" text="REQUIRED">
      <formula>NOT(ISERROR(SEARCH("REQUIRED",I26)))</formula>
    </cfRule>
  </conditionalFormatting>
  <conditionalFormatting sqref="D26">
    <cfRule type="containsText" dxfId="65" priority="66" operator="containsText" text="ENABLE">
      <formula>NOT(ISERROR(SEARCH("ENABLE",D26)))</formula>
    </cfRule>
  </conditionalFormatting>
  <conditionalFormatting sqref="D27:H27">
    <cfRule type="containsText" dxfId="64" priority="65" operator="containsText" text="ERROR">
      <formula>NOT(ISERROR(SEARCH("ERROR",D27)))</formula>
    </cfRule>
  </conditionalFormatting>
  <conditionalFormatting sqref="D27:H27">
    <cfRule type="expression" dxfId="63" priority="63">
      <formula>$I27="ERROR"</formula>
    </cfRule>
    <cfRule type="expression" dxfId="62" priority="64">
      <formula>$I27="NOT REQUIRED"</formula>
    </cfRule>
  </conditionalFormatting>
  <conditionalFormatting sqref="I30:I31 D28:D30 F29:I29">
    <cfRule type="containsText" dxfId="61" priority="59" operator="containsText" text="ERROR">
      <formula>NOT(ISERROR(SEARCH("ERROR",D28)))</formula>
    </cfRule>
  </conditionalFormatting>
  <conditionalFormatting sqref="I29:I31">
    <cfRule type="containsText" dxfId="60" priority="61" operator="containsText" text="OPTIONAL">
      <formula>NOT(ISERROR(SEARCH("OPTIONAL",I29)))</formula>
    </cfRule>
    <cfRule type="containsText" dxfId="59" priority="62" operator="containsText" text="REQUIRED">
      <formula>NOT(ISERROR(SEARCH("REQUIRED",I29)))</formula>
    </cfRule>
  </conditionalFormatting>
  <conditionalFormatting sqref="I29:I31">
    <cfRule type="cellIs" dxfId="58" priority="60" operator="equal">
      <formula>"COMPLETE"</formula>
    </cfRule>
  </conditionalFormatting>
  <conditionalFormatting sqref="I28">
    <cfRule type="cellIs" dxfId="57" priority="53" operator="equal">
      <formula>"NOT REQUIRED"</formula>
    </cfRule>
    <cfRule type="containsText" dxfId="56" priority="55" operator="containsText" text="Warning">
      <formula>NOT(ISERROR(SEARCH("Warning",I28)))</formula>
    </cfRule>
    <cfRule type="cellIs" dxfId="55" priority="56" operator="equal">
      <formula>"Warning*"</formula>
    </cfRule>
    <cfRule type="cellIs" dxfId="54" priority="57" operator="equal">
      <formula>"COMPLETE"</formula>
    </cfRule>
    <cfRule type="cellIs" dxfId="53" priority="58" operator="equal">
      <formula>"REQUIRED"</formula>
    </cfRule>
  </conditionalFormatting>
  <conditionalFormatting sqref="I28">
    <cfRule type="containsText" dxfId="52" priority="52" operator="containsText" text="OPTIONAL">
      <formula>NOT(ISERROR(SEARCH("OPTIONAL",I28)))</formula>
    </cfRule>
    <cfRule type="containsText" dxfId="51" priority="54" operator="containsText" text="REQUIRED">
      <formula>NOT(ISERROR(SEARCH("REQUIRED",I28)))</formula>
    </cfRule>
  </conditionalFormatting>
  <conditionalFormatting sqref="I28">
    <cfRule type="containsText" dxfId="50" priority="51" operator="containsText" text="ERROR">
      <formula>NOT(ISERROR(SEARCH("ERROR",I28)))</formula>
    </cfRule>
  </conditionalFormatting>
  <conditionalFormatting sqref="D35:H35">
    <cfRule type="containsText" dxfId="49" priority="50" operator="containsText" text="ERROR">
      <formula>NOT(ISERROR(SEARCH("ERROR",D35)))</formula>
    </cfRule>
  </conditionalFormatting>
  <conditionalFormatting sqref="D35:H35">
    <cfRule type="expression" dxfId="48" priority="48">
      <formula>$I35="ERROR"</formula>
    </cfRule>
    <cfRule type="expression" dxfId="47" priority="49">
      <formula>$I35="NOT REQUIRED"</formula>
    </cfRule>
  </conditionalFormatting>
  <conditionalFormatting sqref="I35">
    <cfRule type="cellIs" dxfId="46" priority="42" operator="equal">
      <formula>"NOT REQUIRED"</formula>
    </cfRule>
    <cfRule type="containsText" dxfId="45" priority="44" operator="containsText" text="Warning">
      <formula>NOT(ISERROR(SEARCH("Warning",I35)))</formula>
    </cfRule>
    <cfRule type="cellIs" dxfId="44" priority="45" operator="equal">
      <formula>"Warning*"</formula>
    </cfRule>
    <cfRule type="cellIs" dxfId="43" priority="46" operator="equal">
      <formula>"COMPLETE"</formula>
    </cfRule>
    <cfRule type="cellIs" dxfId="42" priority="47" operator="equal">
      <formula>"REQUIRED"</formula>
    </cfRule>
  </conditionalFormatting>
  <conditionalFormatting sqref="I35">
    <cfRule type="containsText" dxfId="41" priority="41" operator="containsText" text="OPTIONAL">
      <formula>NOT(ISERROR(SEARCH("OPTIONAL",I35)))</formula>
    </cfRule>
    <cfRule type="containsText" dxfId="40" priority="43" operator="containsText" text="REQUIRED">
      <formula>NOT(ISERROR(SEARCH("REQUIRED",I35)))</formula>
    </cfRule>
  </conditionalFormatting>
  <conditionalFormatting sqref="I35">
    <cfRule type="containsText" dxfId="39" priority="40" operator="containsText" text="ERROR">
      <formula>NOT(ISERROR(SEARCH("ERROR",I35)))</formula>
    </cfRule>
  </conditionalFormatting>
  <conditionalFormatting sqref="I27">
    <cfRule type="cellIs" dxfId="38" priority="34" operator="equal">
      <formula>"NOT REQUIRED"</formula>
    </cfRule>
    <cfRule type="containsText" dxfId="37" priority="36" operator="containsText" text="Warning">
      <formula>NOT(ISERROR(SEARCH("Warning",I27)))</formula>
    </cfRule>
    <cfRule type="cellIs" dxfId="36" priority="37" operator="equal">
      <formula>"Warning*"</formula>
    </cfRule>
    <cfRule type="cellIs" dxfId="35" priority="38" operator="equal">
      <formula>"COMPLETE"</formula>
    </cfRule>
    <cfRule type="cellIs" dxfId="34" priority="39" operator="equal">
      <formula>"REQUIRED"</formula>
    </cfRule>
  </conditionalFormatting>
  <conditionalFormatting sqref="I27">
    <cfRule type="containsText" dxfId="33" priority="33" operator="containsText" text="OPTIONAL">
      <formula>NOT(ISERROR(SEARCH("OPTIONAL",I27)))</formula>
    </cfRule>
    <cfRule type="containsText" dxfId="32" priority="35" operator="containsText" text="REQUIRED">
      <formula>NOT(ISERROR(SEARCH("REQUIRED",I27)))</formula>
    </cfRule>
  </conditionalFormatting>
  <conditionalFormatting sqref="I27">
    <cfRule type="containsText" dxfId="31" priority="32" operator="containsText" text="ERROR">
      <formula>NOT(ISERROR(SEARCH("ERROR",I27)))</formula>
    </cfRule>
  </conditionalFormatting>
  <conditionalFormatting sqref="D32">
    <cfRule type="containsText" dxfId="30" priority="31" operator="containsText" text="ERROR">
      <formula>NOT(ISERROR(SEARCH("ERROR",D32)))</formula>
    </cfRule>
  </conditionalFormatting>
  <conditionalFormatting sqref="D32">
    <cfRule type="expression" dxfId="29" priority="29">
      <formula>$I32="ERROR"</formula>
    </cfRule>
    <cfRule type="expression" dxfId="28" priority="30">
      <formula>$I32="NOT REQUIRED"</formula>
    </cfRule>
  </conditionalFormatting>
  <conditionalFormatting sqref="I32">
    <cfRule type="cellIs" dxfId="27" priority="23" operator="equal">
      <formula>"NOT REQUIRED"</formula>
    </cfRule>
    <cfRule type="containsText" dxfId="26" priority="25" operator="containsText" text="Warning">
      <formula>NOT(ISERROR(SEARCH("Warning",I32)))</formula>
    </cfRule>
    <cfRule type="cellIs" dxfId="25" priority="26" operator="equal">
      <formula>"Warning*"</formula>
    </cfRule>
    <cfRule type="cellIs" dxfId="24" priority="27" operator="equal">
      <formula>"COMPLETE"</formula>
    </cfRule>
    <cfRule type="cellIs" dxfId="23" priority="28" operator="equal">
      <formula>"REQUIRED"</formula>
    </cfRule>
  </conditionalFormatting>
  <conditionalFormatting sqref="I32">
    <cfRule type="containsText" dxfId="22" priority="22" operator="containsText" text="OPTIONAL">
      <formula>NOT(ISERROR(SEARCH("OPTIONAL",I32)))</formula>
    </cfRule>
    <cfRule type="containsText" dxfId="21" priority="24" operator="containsText" text="REQUIRED">
      <formula>NOT(ISERROR(SEARCH("REQUIRED",I32)))</formula>
    </cfRule>
  </conditionalFormatting>
  <conditionalFormatting sqref="I32">
    <cfRule type="containsText" dxfId="20" priority="21" operator="containsText" text="ERROR">
      <formula>NOT(ISERROR(SEARCH("ERROR",I32)))</formula>
    </cfRule>
  </conditionalFormatting>
  <conditionalFormatting sqref="I47">
    <cfRule type="cellIs" dxfId="19" priority="15" operator="equal">
      <formula>"NOT REQUIRED"</formula>
    </cfRule>
    <cfRule type="containsText" dxfId="18" priority="17" operator="containsText" text="Warning">
      <formula>NOT(ISERROR(SEARCH("Warning",I47)))</formula>
    </cfRule>
    <cfRule type="cellIs" dxfId="17" priority="18" operator="equal">
      <formula>"Warning*"</formula>
    </cfRule>
    <cfRule type="cellIs" dxfId="16" priority="19" operator="equal">
      <formula>"COMPLETE"</formula>
    </cfRule>
    <cfRule type="cellIs" dxfId="15" priority="20" operator="equal">
      <formula>"REQUIRED"</formula>
    </cfRule>
  </conditionalFormatting>
  <conditionalFormatting sqref="I47">
    <cfRule type="containsText" dxfId="14" priority="14" operator="containsText" text="OPTIONAL">
      <formula>NOT(ISERROR(SEARCH("OPTIONAL",I47)))</formula>
    </cfRule>
    <cfRule type="containsText" dxfId="13" priority="16" operator="containsText" text="REQUIRED">
      <formula>NOT(ISERROR(SEARCH("REQUIRED",I47)))</formula>
    </cfRule>
  </conditionalFormatting>
  <conditionalFormatting sqref="D47:I47">
    <cfRule type="containsText" dxfId="12" priority="13" operator="containsText" text="ERROR">
      <formula>NOT(ISERROR(SEARCH("ERROR",D47)))</formula>
    </cfRule>
  </conditionalFormatting>
  <conditionalFormatting sqref="D47:H47">
    <cfRule type="expression" dxfId="11" priority="11">
      <formula>$I47="ERROR"</formula>
    </cfRule>
    <cfRule type="expression" dxfId="10" priority="12">
      <formula>$I47="NOT REQUIRED"</formula>
    </cfRule>
  </conditionalFormatting>
  <conditionalFormatting sqref="I49">
    <cfRule type="cellIs" dxfId="9" priority="5" operator="equal">
      <formula>"NOT REQUIRED"</formula>
    </cfRule>
    <cfRule type="containsText" dxfId="8" priority="7" operator="containsText" text="Warning">
      <formula>NOT(ISERROR(SEARCH("Warning",I49)))</formula>
    </cfRule>
    <cfRule type="cellIs" dxfId="7" priority="8" operator="equal">
      <formula>"Warning*"</formula>
    </cfRule>
    <cfRule type="cellIs" dxfId="6" priority="9" operator="equal">
      <formula>"COMPLETE"</formula>
    </cfRule>
    <cfRule type="cellIs" dxfId="5" priority="10" operator="equal">
      <formula>"REQUIRED"</formula>
    </cfRule>
  </conditionalFormatting>
  <conditionalFormatting sqref="I49">
    <cfRule type="containsText" dxfId="4" priority="4" operator="containsText" text="OPTIONAL">
      <formula>NOT(ISERROR(SEARCH("OPTIONAL",I49)))</formula>
    </cfRule>
    <cfRule type="containsText" dxfId="3" priority="6" operator="containsText" text="REQUIRED">
      <formula>NOT(ISERROR(SEARCH("REQUIRED",I49)))</formula>
    </cfRule>
  </conditionalFormatting>
  <conditionalFormatting sqref="D49:I49">
    <cfRule type="containsText" dxfId="2" priority="3" operator="containsText" text="ERROR">
      <formula>NOT(ISERROR(SEARCH("ERROR",D49)))</formula>
    </cfRule>
  </conditionalFormatting>
  <conditionalFormatting sqref="D49:H49">
    <cfRule type="expression" dxfId="1" priority="1">
      <formula>$I49="ERROR"</formula>
    </cfRule>
    <cfRule type="expression" dxfId="0" priority="2">
      <formula>$I49="NOT REQUIRED"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B6787BB1-5F2A-FF43-A4AC-A6F8E913DBAC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5:H35 D32" xr:uid="{8B4373D2-529C-854C-9B12-F329209C69ED}"/>
    <dataValidation allowBlank="1" showInputMessage="1" showErrorMessage="1" promptTitle="Affiliation" prompt="Please provide the entityID for the application you wish to be affiliated with." sqref="D27:H27" xr:uid="{B3A35FEC-0C6B-7F45-9724-6F5504D01D69}"/>
    <dataValidation allowBlank="1" showInputMessage="1" showErrorMessage="1" promptTitle="Application URL" prompt="Please provide the URL for the RP Application." sqref="D23:H23" xr:uid="{FF5B7D30-33D6-E143-8A4C-B9C865797D48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6" xr:uid="{AED9C6E5-2E3F-DA48-9066-127DD3B98900}"/>
    <dataValidation allowBlank="1" showInputMessage="1" showErrorMessage="1" prompt="If an ERROR appears it is likely because:_x000a_SAML metadata must be .XML_x000a_OIDC and Confidential must be .TXT_x000a_OIDC and Public must be .TXT or .JSON_x000a_" sqref="I43" xr:uid="{AC70F09B-55D6-5440-9918-6B4D621DA451}"/>
    <dataValidation allowBlank="1" showInputMessage="1" showErrorMessage="1" prompt="If an ERROR appears it is likely because SAML applications must have the Application Type set to Confidential._x000a_" sqref="I24" xr:uid="{346546FB-A67F-CC43-B62C-8FDA6C361E12}"/>
  </dataValidations>
  <hyperlinks>
    <hyperlink ref="B56" r:id="rId1" display="mailto:Perry.Hamilton@novascotia.ca" xr:uid="{E516A306-43BC-884E-BB2B-3DD6E978AFF9}"/>
    <hyperlink ref="B54" r:id="rId2" display="tel:(902) 667-6285" xr:uid="{E4349635-67CD-4047-892E-46D747DF0A9B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Health ADFS" prompt="This will allow users belonging to the Health ADFS to access the application." xr:uid="{50D48AC8-A7A1-7643-9DC7-0BE51D471E66}">
          <x14:formula1>
            <xm:f>Reference!$S$3:$S$4</xm:f>
          </x14:formula1>
          <xm:sqref>C31</xm:sqref>
        </x14:dataValidation>
        <x14:dataValidation type="list" allowBlank="1" showInputMessage="1" showErrorMessage="1" promptTitle="Gov ADFS" prompt="This will allow users belonging to the Government ADFS to access the application." xr:uid="{15BA03C9-DD2D-EE45-8E38-9F0448F9D0A5}">
          <x14:formula1>
            <xm:f>Reference!$S$3:$S$4</xm:f>
          </x14:formula1>
          <xm:sqref>C30</xm:sqref>
        </x14:dataValidation>
        <x14:dataValidation type="list" allowBlank="1" showInputMessage="1" showErrorMessage="1" promptTitle="Account Creation Button" prompt="Disabling the account creation button will restrict access to non-invited users." xr:uid="{BAC8DB0D-6A10-C246-9F2B-615335CD7774}">
          <x14:formula1>
            <xm:f>Reference!$S$3:$S$4</xm:f>
          </x14:formula1>
          <xm:sqref>F29:H29</xm:sqref>
        </x14:dataValidation>
        <x14:dataValidation type="list" allowBlank="1" showInputMessage="1" showErrorMessage="1" promptTitle="MyNSID Native Login" prompt="This will allow users with a MyNSID credential to access the application." xr:uid="{5A13D1E1-8C53-3D46-9E2F-3CFCEAD732E0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CBE39949-8A27-C749-84E2-6BF311DB5C9C}">
          <x14:formula1>
            <xm:f>Reference!$S$7:$S$8</xm:f>
          </x14:formula1>
          <xm:sqref>C28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5F8518C9-9FE2-3B45-ABC1-A69A82560BF6}">
          <x14:formula1>
            <xm:f>Reference!$F$8:$F$9</xm:f>
          </x14:formula1>
          <xm:sqref>D26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3961610A-92D8-6F4F-81AB-7D5E8828201E}">
          <x14:formula1>
            <xm:f>Reference!$J$3:$J$4</xm:f>
          </x14:formula1>
          <xm:sqref>D10:H10</xm:sqref>
        </x14:dataValidation>
        <x14:dataValidation type="list" allowBlank="1" showInputMessage="1" showErrorMessage="1" promptTitle="Hour" prompt="Select the hour" xr:uid="{13508CAC-0471-D440-B711-9D8ED7003A5C}">
          <x14:formula1>
            <xm:f>Reference!$N$4:$N$15</xm:f>
          </x14:formula1>
          <xm:sqref>E8</xm:sqref>
        </x14:dataValidation>
        <x14:dataValidation type="list" allowBlank="1" showInputMessage="1" showErrorMessage="1" promptTitle="Minute" prompt="Select the minute" xr:uid="{6A43C789-69A0-5642-B206-90C95998A793}">
          <x14:formula1>
            <xm:f>Reference!$O$4:$O$7</xm:f>
          </x14:formula1>
          <xm:sqref>F8</xm:sqref>
        </x14:dataValidation>
        <x14:dataValidation type="list" allowBlank="1" showInputMessage="1" showErrorMessage="1" promptTitle="AM/PM" prompt="Select AM or PM" xr:uid="{7E54CD08-7BD2-B346-AE4C-A14D3918E55B}">
          <x14:formula1>
            <xm:f>Reference!$P$4:$P$5</xm:f>
          </x14:formula1>
          <xm:sqref>G8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2773AF31-900F-C04B-84DC-7150F7732628}">
          <x14:formula1>
            <xm:f>Reference!$S$3:$S$4</xm:f>
          </x14:formula1>
          <xm:sqref>D9:H9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A94F1C56-503A-F447-805B-3FFDCFD4D974}">
          <x14:formula1>
            <xm:f>Reference!$S$3:$S$4</xm:f>
          </x14:formula1>
          <xm:sqref>C40</xm:sqref>
        </x14:dataValidation>
        <x14:dataValidation type="list" allowBlank="1" showInputMessage="1" promptTitle="Hour" prompt="The default date/time is based on the requested deployment date." xr:uid="{3C1A0D21-8F6F-2D4A-87BB-A9DA5B44F399}">
          <x14:formula1>
            <xm:f>Reference!$N$4:$N$15</xm:f>
          </x14:formula1>
          <xm:sqref>E57</xm:sqref>
        </x14:dataValidation>
        <x14:dataValidation type="list" allowBlank="1" showInputMessage="1" promptTitle="AM/PM" prompt="The default date/time is based on the requested deployment date." xr:uid="{A8FC4DC7-9CCB-1142-8F73-16556951A6AF}">
          <x14:formula1>
            <xm:f>Reference!$P$4:$P$5</xm:f>
          </x14:formula1>
          <xm:sqref>G57</xm:sqref>
        </x14:dataValidation>
        <x14:dataValidation type="list" allowBlank="1" showInputMessage="1" promptTitle="Timezone" prompt="The default date/time is based on the requested deployment date." xr:uid="{17B32034-DA8D-FF42-BC3B-839FDFE4475F}">
          <x14:formula1>
            <xm:f>Reference!$Q$4:$Q$5</xm:f>
          </x14:formula1>
          <xm:sqref>H57</xm:sqref>
        </x14:dataValidation>
        <x14:dataValidation type="list" allowBlank="1" showInputMessage="1" showErrorMessage="1" promptTitle="Timezone" prompt="Select the timezone" xr:uid="{B06ADA08-2139-E24E-AFC3-D4E88EAF8487}">
          <x14:formula1>
            <xm:f>Reference!$Q$4:$Q$5</xm:f>
          </x14:formula1>
          <xm:sqref>H8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C09A55FD-D2F2-BD42-999D-05EE340B01F7}">
          <x14:formula1>
            <xm:f>Reference!$B$3:$B$5</xm:f>
          </x14:formula1>
          <xm:sqref>D45:H45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F4B99CB2-BC1C-324E-BCFA-76293F54A74D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one." xr:uid="{1610A959-116F-A542-96CF-D1B99E2F7832}">
          <x14:formula1>
            <xm:f>Reference!$F$3:$F$4</xm:f>
          </x14:formula1>
          <xm:sqref>D22:H22</xm:sqref>
        </x14:dataValidation>
        <x14:dataValidation type="list" allowBlank="1" showInputMessage="1" promptTitle="Minute" prompt="The default date/time is based on the requested deployment date." xr:uid="{0967AEE2-113C-E947-83BB-F614568AD96B}">
          <x14:formula1>
            <xm:f>Reference!$O$4:$O$7</xm:f>
          </x14:formula1>
          <xm:sqref>F57</xm:sqref>
        </x14:dataValidation>
        <x14:dataValidation type="list" errorStyle="information" allowBlank="1" showInputMessage="1" promptTitle="Select a date" prompt="The default date/time is based on the requested deployment date." xr:uid="{E38D3D1E-C935-5548-A0AC-E67E01623EF2}">
          <x14:formula1>
            <xm:f>Reference!$L$4:$L$15</xm:f>
          </x14:formula1>
          <xm:sqref>D57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989DF9C0-3A15-DE4E-9D0D-EA93876805DA}">
          <x14:formula1>
            <xm:f>Reference!$L$4:$L$15</xm:f>
          </x14:formula1>
          <xm:sqref>D8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804F6C2D-555B-514A-894E-4522DEAF92B8}">
          <x14:formula1>
            <xm:f>Reference!$S$3:$S$4</xm:f>
          </x14:formula1>
          <xm:sqref>C37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69B04895-8E9A-9543-B26B-614D0897B5EB}">
          <x14:formula1>
            <xm:f>Reference!$S$3:$S$4</xm:f>
          </x14:formula1>
          <xm:sqref>C38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F2B15036-D5B2-1644-A76A-039632291CAE}">
          <x14:formula1>
            <xm:f>Reference!$S$3:$S$4</xm:f>
          </x14:formula1>
          <xm:sqref>C39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3DFAE1B1-3507-5846-8468-6EA530DAE7EC}">
          <x14:formula1>
            <xm:f>Reference!$S$3:$S$4</xm:f>
          </x14:formula1>
          <xm:sqref>F37:H37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F7E271F7-37F8-C54E-A218-3ABADB2A87C9}">
          <x14:formula1>
            <xm:f>Reference!$S$3:$S$4</xm:f>
          </x14:formula1>
          <xm:sqref>F38:H38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68B43370-C23F-2C4C-813A-62D558441EF6}">
          <x14:formula1>
            <xm:f>Reference!$S$3:$S$4</xm:f>
          </x14:formula1>
          <xm:sqref>F39:H39</xm:sqref>
        </x14:dataValidation>
        <x14:dataValidation type="list" allowBlank="1" showInputMessage="1" showErrorMessage="1" xr:uid="{75DBAC5D-296D-684B-BE38-55891122FEEA}">
          <x14:formula1>
            <xm:f>Reference!$Y$3:$Y$4</xm:f>
          </x14:formula1>
          <xm:sqref>D46:H46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97DD4E56-6E79-224E-BF62-A88CF4774D8D}">
          <x14:formula1>
            <xm:f>Reference!$U$3:$U$4</xm:f>
          </x14:formula1>
          <xm:sqref>D24:H24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759A4ED1-56BE-BB4C-AF30-1FB837D3E1B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CA1DA770-BDB2-634D-AFA5-91E61DEDCD7F}">
          <x14:formula1>
            <xm:f>Reference!$J$3:$J$4</xm:f>
          </x14:formula1>
          <xm:sqref>D7:H7</xm:sqref>
        </x14:dataValidation>
        <x14:dataValidation type="list" allowBlank="1" showInputMessage="1" showErrorMessage="1" xr:uid="{1845BC8A-1C8F-6348-8C60-B58B259EB3F9}">
          <x14:formula1>
            <xm:f>Reference!$W$3:$W$5</xm:f>
          </x14:formula1>
          <xm:sqref>D43:H43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5E333E9653641A1B042117DE9B6ED" ma:contentTypeVersion="6" ma:contentTypeDescription="Create a new document." ma:contentTypeScope="" ma:versionID="79548151bca0e4e8c589a5c3ce8a0f90">
  <xsd:schema xmlns:xsd="http://www.w3.org/2001/XMLSchema" xmlns:xs="http://www.w3.org/2001/XMLSchema" xmlns:p="http://schemas.microsoft.com/office/2006/metadata/properties" xmlns:ns2="ed5c2c23-3d64-4088-8299-9a247c80c900" targetNamespace="http://schemas.microsoft.com/office/2006/metadata/properties" ma:root="true" ma:fieldsID="3b8609d605b82e22a9c1522c1b06dadc" ns2:_="">
    <xsd:import namespace="ed5c2c23-3d64-4088-8299-9a247c80c900"/>
    <xsd:element name="properties">
      <xsd:complexType>
        <xsd:sequence>
          <xsd:element name="documentManagement">
            <xsd:complexType>
              <xsd:all>
                <xsd:element ref="ns2:Topic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c2c23-3d64-4088-8299-9a247c80c900" elementFormDefault="qualified">
    <xsd:import namespace="http://schemas.microsoft.com/office/2006/documentManagement/types"/>
    <xsd:import namespace="http://schemas.microsoft.com/office/infopath/2007/PartnerControls"/>
    <xsd:element name="Topic" ma:index="4" nillable="true" ma:displayName="Topic" ma:internalName="Topic" ma:readOnly="false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opic xmlns="ed5c2c23-3d64-4088-8299-9a247c80c900" xsi:nil="true"/>
  </documentManagement>
</p:properties>
</file>

<file path=customXml/itemProps1.xml><?xml version="1.0" encoding="utf-8"?>
<ds:datastoreItem xmlns:ds="http://schemas.openxmlformats.org/officeDocument/2006/customXml" ds:itemID="{F82B2D38-A6AA-4D93-BDA3-3393B6DCBF9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F9E53B8-07BC-4137-894D-21AA2F7949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5c2c23-3d64-4088-8299-9a247c80c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BB03F1-155C-4D39-BC6A-091C01FF5C4D}">
  <ds:schemaRefs>
    <ds:schemaRef ds:uri="ed5c2c23-3d64-4088-8299-9a247c80c900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Create New Form</vt:lpstr>
      <vt:lpstr>Reference</vt:lpstr>
      <vt:lpstr>CSR</vt:lpstr>
      <vt:lpstr>CON</vt:lpstr>
      <vt:lpstr>MDR</vt:lpstr>
      <vt:lpstr>CON!Print_Area</vt:lpstr>
      <vt:lpstr>MDR!Print_Area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Duff, Scott</dc:creator>
  <cp:lastModifiedBy>Microsoft Office User</cp:lastModifiedBy>
  <dcterms:created xsi:type="dcterms:W3CDTF">2017-11-10T15:01:19Z</dcterms:created>
  <dcterms:modified xsi:type="dcterms:W3CDTF">2020-08-13T21:30:04Z</dcterms:modified>
</cp:coreProperties>
</file>